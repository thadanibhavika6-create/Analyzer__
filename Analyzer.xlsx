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2c81b64dbd6b80/Desktop/"/>
    </mc:Choice>
  </mc:AlternateContent>
  <xr:revisionPtr revIDLastSave="0" documentId="8_{0070D8E8-F9F8-4621-9819-85E00F9AE669}" xr6:coauthVersionLast="47" xr6:coauthVersionMax="47" xr10:uidLastSave="{00000000-0000-0000-0000-000000000000}"/>
  <bookViews>
    <workbookView xWindow="-120" yWindow="-120" windowWidth="20730" windowHeight="11040" xr2:uid="{6E16775E-13FB-4D58-AD67-9FDB58DC8EE0}"/>
  </bookViews>
  <sheets>
    <sheet name="DASHBOARD " sheetId="7" r:id="rId1"/>
    <sheet name=" ANALYSIS" sheetId="1" r:id="rId2"/>
    <sheet name=" CUSTOMERS" sheetId="2" r:id="rId3"/>
    <sheet name=" PIVOT TABLE " sheetId="3" r:id="rId4"/>
    <sheet name=" WHAT IF " sheetId="4" r:id="rId5"/>
    <sheet name=" REGRESSION " sheetId="5" r:id="rId6"/>
    <sheet name=" DESCRIPTIVE STATS " sheetId="6" r:id="rId7"/>
  </sheets>
  <externalReferences>
    <externalReference r:id="rId8"/>
  </externalReferences>
  <definedNames>
    <definedName name="_xlnm._FilterDatabase" localSheetId="1" hidden="1">' ANALYSIS'!$A$1:$O$201</definedName>
    <definedName name="_xlnm._FilterDatabase" localSheetId="2" hidden="1">' CUSTOMERS'!$A$4:$H$34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7" l="1"/>
  <c r="L5" i="7"/>
  <c r="J5" i="7"/>
  <c r="H5" i="7"/>
  <c r="F5" i="7"/>
  <c r="D5" i="7"/>
  <c r="B5" i="7"/>
  <c r="B2" i="7"/>
  <c r="A22" i="6"/>
  <c r="B22" i="6" s="1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C19" i="5"/>
  <c r="B19" i="5"/>
  <c r="C18" i="5"/>
  <c r="B18" i="5"/>
  <c r="C15" i="5"/>
  <c r="B9" i="5"/>
  <c r="B15" i="5" s="1"/>
  <c r="B14" i="5" s="1"/>
  <c r="B8" i="5"/>
  <c r="B6" i="5"/>
  <c r="B5" i="5"/>
  <c r="B11" i="4"/>
  <c r="B9" i="4"/>
  <c r="B8" i="4"/>
  <c r="D23" i="3"/>
  <c r="B23" i="3"/>
  <c r="A23" i="3" s="1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8" i="3"/>
  <c r="B8" i="3"/>
  <c r="F7" i="3"/>
  <c r="B7" i="3"/>
  <c r="F6" i="3"/>
  <c r="B6" i="3"/>
  <c r="F5" i="3"/>
  <c r="B5" i="3"/>
  <c r="F4" i="3"/>
  <c r="B4" i="3"/>
  <c r="E34" i="2"/>
  <c r="C34" i="2"/>
  <c r="B34" i="2"/>
  <c r="E33" i="2"/>
  <c r="C33" i="2"/>
  <c r="B33" i="2"/>
  <c r="E32" i="2"/>
  <c r="C32" i="2"/>
  <c r="B32" i="2"/>
  <c r="E31" i="2"/>
  <c r="C31" i="2"/>
  <c r="B31" i="2"/>
  <c r="E30" i="2"/>
  <c r="C30" i="2"/>
  <c r="B30" i="2"/>
  <c r="E29" i="2"/>
  <c r="C29" i="2"/>
  <c r="B29" i="2"/>
  <c r="E28" i="2"/>
  <c r="C28" i="2"/>
  <c r="B28" i="2"/>
  <c r="E27" i="2"/>
  <c r="C27" i="2"/>
  <c r="B27" i="2"/>
  <c r="E26" i="2"/>
  <c r="C26" i="2"/>
  <c r="B26" i="2"/>
  <c r="E25" i="2"/>
  <c r="C25" i="2"/>
  <c r="B25" i="2"/>
  <c r="E24" i="2"/>
  <c r="C24" i="2"/>
  <c r="B24" i="2"/>
  <c r="E23" i="2"/>
  <c r="C23" i="2"/>
  <c r="B23" i="2"/>
  <c r="E22" i="2"/>
  <c r="C22" i="2"/>
  <c r="B22" i="2"/>
  <c r="E21" i="2"/>
  <c r="C21" i="2"/>
  <c r="B21" i="2"/>
  <c r="E20" i="2"/>
  <c r="C20" i="2"/>
  <c r="B20" i="2"/>
  <c r="E19" i="2"/>
  <c r="C19" i="2"/>
  <c r="B19" i="2"/>
  <c r="E18" i="2"/>
  <c r="C18" i="2"/>
  <c r="B18" i="2"/>
  <c r="E17" i="2"/>
  <c r="C17" i="2"/>
  <c r="B17" i="2"/>
  <c r="E16" i="2"/>
  <c r="C16" i="2"/>
  <c r="B16" i="2"/>
  <c r="E15" i="2"/>
  <c r="C15" i="2"/>
  <c r="B15" i="2"/>
  <c r="E14" i="2"/>
  <c r="C14" i="2"/>
  <c r="B14" i="2"/>
  <c r="E13" i="2"/>
  <c r="C13" i="2"/>
  <c r="B13" i="2"/>
  <c r="E12" i="2"/>
  <c r="C12" i="2"/>
  <c r="B12" i="2"/>
  <c r="E11" i="2"/>
  <c r="C11" i="2"/>
  <c r="B11" i="2"/>
  <c r="E10" i="2"/>
  <c r="C10" i="2"/>
  <c r="B10" i="2"/>
  <c r="E9" i="2"/>
  <c r="C9" i="2"/>
  <c r="B9" i="2"/>
  <c r="E8" i="2"/>
  <c r="C8" i="2"/>
  <c r="B8" i="2"/>
  <c r="E7" i="2"/>
  <c r="C7" i="2"/>
  <c r="B7" i="2"/>
  <c r="E6" i="2"/>
  <c r="C6" i="2"/>
  <c r="B6" i="2"/>
  <c r="E5" i="2"/>
  <c r="C5" i="2"/>
  <c r="B5" i="2"/>
  <c r="O201" i="1"/>
  <c r="I201" i="1"/>
  <c r="M201" i="1" s="1"/>
  <c r="H201" i="1"/>
  <c r="N201" i="1" s="1"/>
  <c r="G201" i="1"/>
  <c r="F201" i="1"/>
  <c r="E201" i="1"/>
  <c r="D201" i="1"/>
  <c r="C201" i="1"/>
  <c r="B201" i="1"/>
  <c r="A201" i="1"/>
  <c r="O200" i="1"/>
  <c r="I200" i="1"/>
  <c r="M200" i="1" s="1"/>
  <c r="H200" i="1"/>
  <c r="N200" i="1" s="1"/>
  <c r="G200" i="1"/>
  <c r="F200" i="1"/>
  <c r="E200" i="1"/>
  <c r="D200" i="1"/>
  <c r="C200" i="1"/>
  <c r="B200" i="1"/>
  <c r="A200" i="1"/>
  <c r="O199" i="1"/>
  <c r="I199" i="1"/>
  <c r="M199" i="1" s="1"/>
  <c r="H199" i="1"/>
  <c r="N199" i="1" s="1"/>
  <c r="G199" i="1"/>
  <c r="F199" i="1"/>
  <c r="E199" i="1"/>
  <c r="D199" i="1"/>
  <c r="C199" i="1"/>
  <c r="B199" i="1"/>
  <c r="A199" i="1"/>
  <c r="O198" i="1"/>
  <c r="I198" i="1"/>
  <c r="M198" i="1" s="1"/>
  <c r="H198" i="1"/>
  <c r="N198" i="1" s="1"/>
  <c r="G198" i="1"/>
  <c r="F198" i="1"/>
  <c r="E198" i="1"/>
  <c r="D198" i="1"/>
  <c r="C198" i="1"/>
  <c r="B198" i="1"/>
  <c r="A198" i="1"/>
  <c r="O197" i="1"/>
  <c r="I197" i="1"/>
  <c r="M197" i="1" s="1"/>
  <c r="H197" i="1"/>
  <c r="N197" i="1" s="1"/>
  <c r="G197" i="1"/>
  <c r="F197" i="1"/>
  <c r="E197" i="1"/>
  <c r="D197" i="1"/>
  <c r="C197" i="1"/>
  <c r="B197" i="1"/>
  <c r="A197" i="1"/>
  <c r="O196" i="1"/>
  <c r="I196" i="1"/>
  <c r="M196" i="1" s="1"/>
  <c r="H196" i="1"/>
  <c r="N196" i="1" s="1"/>
  <c r="G196" i="1"/>
  <c r="F196" i="1"/>
  <c r="E196" i="1"/>
  <c r="D196" i="1"/>
  <c r="C196" i="1"/>
  <c r="B196" i="1"/>
  <c r="A196" i="1"/>
  <c r="O195" i="1"/>
  <c r="I195" i="1"/>
  <c r="M195" i="1" s="1"/>
  <c r="H195" i="1"/>
  <c r="N195" i="1" s="1"/>
  <c r="G195" i="1"/>
  <c r="F195" i="1"/>
  <c r="E195" i="1"/>
  <c r="D195" i="1"/>
  <c r="C195" i="1"/>
  <c r="B195" i="1"/>
  <c r="A195" i="1"/>
  <c r="O194" i="1"/>
  <c r="I194" i="1"/>
  <c r="H194" i="1"/>
  <c r="N194" i="1" s="1"/>
  <c r="G194" i="1"/>
  <c r="F194" i="1"/>
  <c r="E194" i="1"/>
  <c r="D194" i="1"/>
  <c r="C194" i="1"/>
  <c r="B194" i="1"/>
  <c r="A194" i="1"/>
  <c r="O193" i="1"/>
  <c r="I193" i="1"/>
  <c r="M193" i="1" s="1"/>
  <c r="H193" i="1"/>
  <c r="N193" i="1" s="1"/>
  <c r="G193" i="1"/>
  <c r="F193" i="1"/>
  <c r="E193" i="1"/>
  <c r="D193" i="1"/>
  <c r="C193" i="1"/>
  <c r="B193" i="1"/>
  <c r="A193" i="1"/>
  <c r="O192" i="1"/>
  <c r="I192" i="1"/>
  <c r="M192" i="1" s="1"/>
  <c r="H192" i="1"/>
  <c r="N192" i="1" s="1"/>
  <c r="G192" i="1"/>
  <c r="F192" i="1"/>
  <c r="E192" i="1"/>
  <c r="D192" i="1"/>
  <c r="C192" i="1"/>
  <c r="B192" i="1"/>
  <c r="A192" i="1"/>
  <c r="O191" i="1"/>
  <c r="I191" i="1"/>
  <c r="M191" i="1" s="1"/>
  <c r="H191" i="1"/>
  <c r="N191" i="1" s="1"/>
  <c r="G191" i="1"/>
  <c r="F191" i="1"/>
  <c r="E191" i="1"/>
  <c r="D191" i="1"/>
  <c r="C191" i="1"/>
  <c r="B191" i="1"/>
  <c r="A191" i="1"/>
  <c r="O190" i="1"/>
  <c r="I190" i="1"/>
  <c r="M190" i="1" s="1"/>
  <c r="H190" i="1"/>
  <c r="N190" i="1" s="1"/>
  <c r="G190" i="1"/>
  <c r="F190" i="1"/>
  <c r="E190" i="1"/>
  <c r="D190" i="1"/>
  <c r="C190" i="1"/>
  <c r="B190" i="1"/>
  <c r="A190" i="1"/>
  <c r="O189" i="1"/>
  <c r="I189" i="1"/>
  <c r="M189" i="1" s="1"/>
  <c r="H189" i="1"/>
  <c r="N189" i="1" s="1"/>
  <c r="G189" i="1"/>
  <c r="F189" i="1"/>
  <c r="E189" i="1"/>
  <c r="D189" i="1"/>
  <c r="C189" i="1"/>
  <c r="B189" i="1"/>
  <c r="A189" i="1"/>
  <c r="O188" i="1"/>
  <c r="I188" i="1"/>
  <c r="M188" i="1" s="1"/>
  <c r="H188" i="1"/>
  <c r="N188" i="1" s="1"/>
  <c r="G188" i="1"/>
  <c r="F188" i="1"/>
  <c r="E188" i="1"/>
  <c r="D188" i="1"/>
  <c r="C188" i="1"/>
  <c r="B188" i="1"/>
  <c r="A188" i="1"/>
  <c r="O187" i="1"/>
  <c r="I187" i="1"/>
  <c r="M187" i="1" s="1"/>
  <c r="H187" i="1"/>
  <c r="N187" i="1" s="1"/>
  <c r="G187" i="1"/>
  <c r="F187" i="1"/>
  <c r="E187" i="1"/>
  <c r="D187" i="1"/>
  <c r="C187" i="1"/>
  <c r="B187" i="1"/>
  <c r="A187" i="1"/>
  <c r="O186" i="1"/>
  <c r="I186" i="1"/>
  <c r="H186" i="1"/>
  <c r="N186" i="1" s="1"/>
  <c r="G186" i="1"/>
  <c r="F186" i="1"/>
  <c r="E186" i="1"/>
  <c r="D186" i="1"/>
  <c r="C186" i="1"/>
  <c r="B186" i="1"/>
  <c r="A186" i="1"/>
  <c r="O185" i="1"/>
  <c r="I185" i="1"/>
  <c r="M185" i="1" s="1"/>
  <c r="H185" i="1"/>
  <c r="N185" i="1" s="1"/>
  <c r="G185" i="1"/>
  <c r="F185" i="1"/>
  <c r="E185" i="1"/>
  <c r="D185" i="1"/>
  <c r="C185" i="1"/>
  <c r="B185" i="1"/>
  <c r="A185" i="1"/>
  <c r="O184" i="1"/>
  <c r="I184" i="1"/>
  <c r="M184" i="1" s="1"/>
  <c r="H184" i="1"/>
  <c r="N184" i="1" s="1"/>
  <c r="G184" i="1"/>
  <c r="F184" i="1"/>
  <c r="E184" i="1"/>
  <c r="D184" i="1"/>
  <c r="C184" i="1"/>
  <c r="B184" i="1"/>
  <c r="A184" i="1"/>
  <c r="O183" i="1"/>
  <c r="I183" i="1"/>
  <c r="M183" i="1" s="1"/>
  <c r="H183" i="1"/>
  <c r="N183" i="1" s="1"/>
  <c r="G183" i="1"/>
  <c r="F183" i="1"/>
  <c r="E183" i="1"/>
  <c r="D183" i="1"/>
  <c r="C183" i="1"/>
  <c r="B183" i="1"/>
  <c r="A183" i="1"/>
  <c r="O182" i="1"/>
  <c r="I182" i="1"/>
  <c r="M182" i="1" s="1"/>
  <c r="H182" i="1"/>
  <c r="N182" i="1" s="1"/>
  <c r="G182" i="1"/>
  <c r="F182" i="1"/>
  <c r="E182" i="1"/>
  <c r="D182" i="1"/>
  <c r="C182" i="1"/>
  <c r="B182" i="1"/>
  <c r="A182" i="1"/>
  <c r="O181" i="1"/>
  <c r="I181" i="1"/>
  <c r="M181" i="1" s="1"/>
  <c r="H181" i="1"/>
  <c r="N181" i="1" s="1"/>
  <c r="G181" i="1"/>
  <c r="F181" i="1"/>
  <c r="E181" i="1"/>
  <c r="D181" i="1"/>
  <c r="C181" i="1"/>
  <c r="B181" i="1"/>
  <c r="A181" i="1"/>
  <c r="O180" i="1"/>
  <c r="I180" i="1"/>
  <c r="M180" i="1" s="1"/>
  <c r="H180" i="1"/>
  <c r="N180" i="1" s="1"/>
  <c r="G180" i="1"/>
  <c r="F180" i="1"/>
  <c r="E180" i="1"/>
  <c r="D180" i="1"/>
  <c r="C180" i="1"/>
  <c r="B180" i="1"/>
  <c r="A180" i="1"/>
  <c r="O179" i="1"/>
  <c r="I179" i="1"/>
  <c r="M179" i="1" s="1"/>
  <c r="H179" i="1"/>
  <c r="N179" i="1" s="1"/>
  <c r="G179" i="1"/>
  <c r="F179" i="1"/>
  <c r="E179" i="1"/>
  <c r="D179" i="1"/>
  <c r="C179" i="1"/>
  <c r="B179" i="1"/>
  <c r="A179" i="1"/>
  <c r="O178" i="1"/>
  <c r="I178" i="1"/>
  <c r="H178" i="1"/>
  <c r="N178" i="1" s="1"/>
  <c r="G178" i="1"/>
  <c r="F178" i="1"/>
  <c r="E178" i="1"/>
  <c r="D178" i="1"/>
  <c r="C178" i="1"/>
  <c r="B178" i="1"/>
  <c r="A178" i="1"/>
  <c r="O177" i="1"/>
  <c r="I177" i="1"/>
  <c r="M177" i="1" s="1"/>
  <c r="H177" i="1"/>
  <c r="N177" i="1" s="1"/>
  <c r="G177" i="1"/>
  <c r="F177" i="1"/>
  <c r="E177" i="1"/>
  <c r="D177" i="1"/>
  <c r="C177" i="1"/>
  <c r="B177" i="1"/>
  <c r="A177" i="1"/>
  <c r="O176" i="1"/>
  <c r="I176" i="1"/>
  <c r="M176" i="1" s="1"/>
  <c r="H176" i="1"/>
  <c r="N176" i="1" s="1"/>
  <c r="G176" i="1"/>
  <c r="F176" i="1"/>
  <c r="E176" i="1"/>
  <c r="D176" i="1"/>
  <c r="C176" i="1"/>
  <c r="B176" i="1"/>
  <c r="A176" i="1"/>
  <c r="O175" i="1"/>
  <c r="I175" i="1"/>
  <c r="M175" i="1" s="1"/>
  <c r="H175" i="1"/>
  <c r="N175" i="1" s="1"/>
  <c r="G175" i="1"/>
  <c r="F175" i="1"/>
  <c r="E175" i="1"/>
  <c r="D175" i="1"/>
  <c r="C175" i="1"/>
  <c r="B175" i="1"/>
  <c r="A175" i="1"/>
  <c r="O174" i="1"/>
  <c r="I174" i="1"/>
  <c r="M174" i="1" s="1"/>
  <c r="H174" i="1"/>
  <c r="N174" i="1" s="1"/>
  <c r="G174" i="1"/>
  <c r="F174" i="1"/>
  <c r="E174" i="1"/>
  <c r="D174" i="1"/>
  <c r="C174" i="1"/>
  <c r="B174" i="1"/>
  <c r="A174" i="1"/>
  <c r="O173" i="1"/>
  <c r="I173" i="1"/>
  <c r="M173" i="1" s="1"/>
  <c r="H173" i="1"/>
  <c r="N173" i="1" s="1"/>
  <c r="G173" i="1"/>
  <c r="F173" i="1"/>
  <c r="E173" i="1"/>
  <c r="D173" i="1"/>
  <c r="C173" i="1"/>
  <c r="B173" i="1"/>
  <c r="A173" i="1"/>
  <c r="O172" i="1"/>
  <c r="I172" i="1"/>
  <c r="M172" i="1" s="1"/>
  <c r="H172" i="1"/>
  <c r="N172" i="1" s="1"/>
  <c r="G172" i="1"/>
  <c r="F172" i="1"/>
  <c r="E172" i="1"/>
  <c r="D172" i="1"/>
  <c r="C172" i="1"/>
  <c r="B172" i="1"/>
  <c r="A172" i="1"/>
  <c r="O171" i="1"/>
  <c r="I171" i="1"/>
  <c r="M171" i="1" s="1"/>
  <c r="H171" i="1"/>
  <c r="N171" i="1" s="1"/>
  <c r="G171" i="1"/>
  <c r="F171" i="1"/>
  <c r="E171" i="1"/>
  <c r="D171" i="1"/>
  <c r="C171" i="1"/>
  <c r="B171" i="1"/>
  <c r="A171" i="1"/>
  <c r="O170" i="1"/>
  <c r="I170" i="1"/>
  <c r="H170" i="1"/>
  <c r="N170" i="1" s="1"/>
  <c r="G170" i="1"/>
  <c r="F170" i="1"/>
  <c r="E170" i="1"/>
  <c r="D170" i="1"/>
  <c r="C170" i="1"/>
  <c r="B170" i="1"/>
  <c r="A170" i="1"/>
  <c r="O169" i="1"/>
  <c r="I169" i="1"/>
  <c r="M169" i="1" s="1"/>
  <c r="H169" i="1"/>
  <c r="N169" i="1" s="1"/>
  <c r="G169" i="1"/>
  <c r="F169" i="1"/>
  <c r="E169" i="1"/>
  <c r="D169" i="1"/>
  <c r="C169" i="1"/>
  <c r="B169" i="1"/>
  <c r="A169" i="1"/>
  <c r="O168" i="1"/>
  <c r="I168" i="1"/>
  <c r="M168" i="1" s="1"/>
  <c r="H168" i="1"/>
  <c r="N168" i="1" s="1"/>
  <c r="G168" i="1"/>
  <c r="F168" i="1"/>
  <c r="E168" i="1"/>
  <c r="D168" i="1"/>
  <c r="C168" i="1"/>
  <c r="B168" i="1"/>
  <c r="A168" i="1"/>
  <c r="O167" i="1"/>
  <c r="I167" i="1"/>
  <c r="M167" i="1" s="1"/>
  <c r="H167" i="1"/>
  <c r="N167" i="1" s="1"/>
  <c r="G167" i="1"/>
  <c r="F167" i="1"/>
  <c r="E167" i="1"/>
  <c r="D167" i="1"/>
  <c r="C167" i="1"/>
  <c r="B167" i="1"/>
  <c r="A167" i="1"/>
  <c r="O166" i="1"/>
  <c r="I166" i="1"/>
  <c r="M166" i="1" s="1"/>
  <c r="H166" i="1"/>
  <c r="N166" i="1" s="1"/>
  <c r="G166" i="1"/>
  <c r="F166" i="1"/>
  <c r="E166" i="1"/>
  <c r="D166" i="1"/>
  <c r="C166" i="1"/>
  <c r="B166" i="1"/>
  <c r="A166" i="1"/>
  <c r="O165" i="1"/>
  <c r="I165" i="1"/>
  <c r="M165" i="1" s="1"/>
  <c r="H165" i="1"/>
  <c r="N165" i="1" s="1"/>
  <c r="G165" i="1"/>
  <c r="F165" i="1"/>
  <c r="E165" i="1"/>
  <c r="D165" i="1"/>
  <c r="C165" i="1"/>
  <c r="B165" i="1"/>
  <c r="A165" i="1"/>
  <c r="O164" i="1"/>
  <c r="I164" i="1"/>
  <c r="M164" i="1" s="1"/>
  <c r="H164" i="1"/>
  <c r="N164" i="1" s="1"/>
  <c r="G164" i="1"/>
  <c r="F164" i="1"/>
  <c r="E164" i="1"/>
  <c r="D164" i="1"/>
  <c r="C164" i="1"/>
  <c r="B164" i="1"/>
  <c r="A164" i="1"/>
  <c r="O163" i="1"/>
  <c r="I163" i="1"/>
  <c r="M163" i="1" s="1"/>
  <c r="H163" i="1"/>
  <c r="N163" i="1" s="1"/>
  <c r="G163" i="1"/>
  <c r="F163" i="1"/>
  <c r="E163" i="1"/>
  <c r="D163" i="1"/>
  <c r="C163" i="1"/>
  <c r="B163" i="1"/>
  <c r="A163" i="1"/>
  <c r="O162" i="1"/>
  <c r="I162" i="1"/>
  <c r="H162" i="1"/>
  <c r="N162" i="1" s="1"/>
  <c r="G162" i="1"/>
  <c r="F162" i="1"/>
  <c r="E162" i="1"/>
  <c r="D162" i="1"/>
  <c r="C162" i="1"/>
  <c r="B162" i="1"/>
  <c r="A162" i="1"/>
  <c r="O161" i="1"/>
  <c r="I161" i="1"/>
  <c r="M161" i="1" s="1"/>
  <c r="H161" i="1"/>
  <c r="N161" i="1" s="1"/>
  <c r="G161" i="1"/>
  <c r="F161" i="1"/>
  <c r="E161" i="1"/>
  <c r="D161" i="1"/>
  <c r="C161" i="1"/>
  <c r="B161" i="1"/>
  <c r="A161" i="1"/>
  <c r="O160" i="1"/>
  <c r="I160" i="1"/>
  <c r="M160" i="1" s="1"/>
  <c r="H160" i="1"/>
  <c r="N160" i="1" s="1"/>
  <c r="G160" i="1"/>
  <c r="F160" i="1"/>
  <c r="E160" i="1"/>
  <c r="D160" i="1"/>
  <c r="C160" i="1"/>
  <c r="B160" i="1"/>
  <c r="A160" i="1"/>
  <c r="O159" i="1"/>
  <c r="I159" i="1"/>
  <c r="M159" i="1" s="1"/>
  <c r="H159" i="1"/>
  <c r="N159" i="1" s="1"/>
  <c r="G159" i="1"/>
  <c r="F159" i="1"/>
  <c r="E159" i="1"/>
  <c r="D159" i="1"/>
  <c r="C159" i="1"/>
  <c r="B159" i="1"/>
  <c r="A159" i="1"/>
  <c r="O158" i="1"/>
  <c r="I158" i="1"/>
  <c r="M158" i="1" s="1"/>
  <c r="H158" i="1"/>
  <c r="N158" i="1" s="1"/>
  <c r="G158" i="1"/>
  <c r="F158" i="1"/>
  <c r="E158" i="1"/>
  <c r="D158" i="1"/>
  <c r="C158" i="1"/>
  <c r="B158" i="1"/>
  <c r="A158" i="1"/>
  <c r="O157" i="1"/>
  <c r="I157" i="1"/>
  <c r="M157" i="1" s="1"/>
  <c r="H157" i="1"/>
  <c r="N157" i="1" s="1"/>
  <c r="G157" i="1"/>
  <c r="F157" i="1"/>
  <c r="E157" i="1"/>
  <c r="D157" i="1"/>
  <c r="C157" i="1"/>
  <c r="B157" i="1"/>
  <c r="A157" i="1"/>
  <c r="O156" i="1"/>
  <c r="I156" i="1"/>
  <c r="M156" i="1" s="1"/>
  <c r="H156" i="1"/>
  <c r="N156" i="1" s="1"/>
  <c r="G156" i="1"/>
  <c r="F156" i="1"/>
  <c r="E156" i="1"/>
  <c r="D156" i="1"/>
  <c r="C156" i="1"/>
  <c r="B156" i="1"/>
  <c r="A156" i="1"/>
  <c r="O155" i="1"/>
  <c r="I155" i="1"/>
  <c r="M155" i="1" s="1"/>
  <c r="H155" i="1"/>
  <c r="N155" i="1" s="1"/>
  <c r="G155" i="1"/>
  <c r="F155" i="1"/>
  <c r="E155" i="1"/>
  <c r="D155" i="1"/>
  <c r="C155" i="1"/>
  <c r="B155" i="1"/>
  <c r="A155" i="1"/>
  <c r="O154" i="1"/>
  <c r="I154" i="1"/>
  <c r="H154" i="1"/>
  <c r="N154" i="1" s="1"/>
  <c r="G154" i="1"/>
  <c r="F154" i="1"/>
  <c r="E154" i="1"/>
  <c r="D154" i="1"/>
  <c r="C154" i="1"/>
  <c r="B154" i="1"/>
  <c r="A154" i="1"/>
  <c r="O153" i="1"/>
  <c r="I153" i="1"/>
  <c r="M153" i="1" s="1"/>
  <c r="H153" i="1"/>
  <c r="N153" i="1" s="1"/>
  <c r="G153" i="1"/>
  <c r="F153" i="1"/>
  <c r="E153" i="1"/>
  <c r="D153" i="1"/>
  <c r="C153" i="1"/>
  <c r="B153" i="1"/>
  <c r="A153" i="1"/>
  <c r="O152" i="1"/>
  <c r="I152" i="1"/>
  <c r="M152" i="1" s="1"/>
  <c r="H152" i="1"/>
  <c r="N152" i="1" s="1"/>
  <c r="G152" i="1"/>
  <c r="F152" i="1"/>
  <c r="E152" i="1"/>
  <c r="D152" i="1"/>
  <c r="C152" i="1"/>
  <c r="B152" i="1"/>
  <c r="A152" i="1"/>
  <c r="O151" i="1"/>
  <c r="I151" i="1"/>
  <c r="M151" i="1" s="1"/>
  <c r="H151" i="1"/>
  <c r="N151" i="1" s="1"/>
  <c r="G151" i="1"/>
  <c r="F151" i="1"/>
  <c r="E151" i="1"/>
  <c r="D151" i="1"/>
  <c r="C151" i="1"/>
  <c r="B151" i="1"/>
  <c r="A151" i="1"/>
  <c r="O150" i="1"/>
  <c r="I150" i="1"/>
  <c r="M150" i="1" s="1"/>
  <c r="H150" i="1"/>
  <c r="N150" i="1" s="1"/>
  <c r="G150" i="1"/>
  <c r="F150" i="1"/>
  <c r="E150" i="1"/>
  <c r="D150" i="1"/>
  <c r="C150" i="1"/>
  <c r="B150" i="1"/>
  <c r="A150" i="1"/>
  <c r="O149" i="1"/>
  <c r="I149" i="1"/>
  <c r="M149" i="1" s="1"/>
  <c r="H149" i="1"/>
  <c r="N149" i="1" s="1"/>
  <c r="G149" i="1"/>
  <c r="F149" i="1"/>
  <c r="E149" i="1"/>
  <c r="D149" i="1"/>
  <c r="C149" i="1"/>
  <c r="B149" i="1"/>
  <c r="A149" i="1"/>
  <c r="O148" i="1"/>
  <c r="I148" i="1"/>
  <c r="M148" i="1" s="1"/>
  <c r="H148" i="1"/>
  <c r="N148" i="1" s="1"/>
  <c r="G148" i="1"/>
  <c r="F148" i="1"/>
  <c r="E148" i="1"/>
  <c r="D148" i="1"/>
  <c r="C148" i="1"/>
  <c r="B148" i="1"/>
  <c r="A148" i="1"/>
  <c r="O147" i="1"/>
  <c r="I147" i="1"/>
  <c r="M147" i="1" s="1"/>
  <c r="H147" i="1"/>
  <c r="N147" i="1" s="1"/>
  <c r="G147" i="1"/>
  <c r="F147" i="1"/>
  <c r="E147" i="1"/>
  <c r="D147" i="1"/>
  <c r="C147" i="1"/>
  <c r="B147" i="1"/>
  <c r="A147" i="1"/>
  <c r="O146" i="1"/>
  <c r="I146" i="1"/>
  <c r="H146" i="1"/>
  <c r="N146" i="1" s="1"/>
  <c r="G146" i="1"/>
  <c r="F146" i="1"/>
  <c r="E146" i="1"/>
  <c r="D146" i="1"/>
  <c r="C146" i="1"/>
  <c r="B146" i="1"/>
  <c r="A146" i="1"/>
  <c r="O145" i="1"/>
  <c r="I145" i="1"/>
  <c r="M145" i="1" s="1"/>
  <c r="H145" i="1"/>
  <c r="N145" i="1" s="1"/>
  <c r="G145" i="1"/>
  <c r="F145" i="1"/>
  <c r="E145" i="1"/>
  <c r="D145" i="1"/>
  <c r="C145" i="1"/>
  <c r="B145" i="1"/>
  <c r="A145" i="1"/>
  <c r="O144" i="1"/>
  <c r="I144" i="1"/>
  <c r="M144" i="1" s="1"/>
  <c r="H144" i="1"/>
  <c r="N144" i="1" s="1"/>
  <c r="G144" i="1"/>
  <c r="F144" i="1"/>
  <c r="E144" i="1"/>
  <c r="D144" i="1"/>
  <c r="C144" i="1"/>
  <c r="B144" i="1"/>
  <c r="A144" i="1"/>
  <c r="O143" i="1"/>
  <c r="I143" i="1"/>
  <c r="M143" i="1" s="1"/>
  <c r="H143" i="1"/>
  <c r="N143" i="1" s="1"/>
  <c r="G143" i="1"/>
  <c r="F143" i="1"/>
  <c r="E143" i="1"/>
  <c r="D143" i="1"/>
  <c r="C143" i="1"/>
  <c r="B143" i="1"/>
  <c r="A143" i="1"/>
  <c r="O142" i="1"/>
  <c r="I142" i="1"/>
  <c r="M142" i="1" s="1"/>
  <c r="H142" i="1"/>
  <c r="N142" i="1" s="1"/>
  <c r="G142" i="1"/>
  <c r="F142" i="1"/>
  <c r="E142" i="1"/>
  <c r="D142" i="1"/>
  <c r="C142" i="1"/>
  <c r="B142" i="1"/>
  <c r="A142" i="1"/>
  <c r="O141" i="1"/>
  <c r="I141" i="1"/>
  <c r="M141" i="1" s="1"/>
  <c r="H141" i="1"/>
  <c r="N141" i="1" s="1"/>
  <c r="G141" i="1"/>
  <c r="F141" i="1"/>
  <c r="E141" i="1"/>
  <c r="D141" i="1"/>
  <c r="C141" i="1"/>
  <c r="B141" i="1"/>
  <c r="A141" i="1"/>
  <c r="O140" i="1"/>
  <c r="I140" i="1"/>
  <c r="M140" i="1" s="1"/>
  <c r="H140" i="1"/>
  <c r="N140" i="1" s="1"/>
  <c r="G140" i="1"/>
  <c r="F140" i="1"/>
  <c r="E140" i="1"/>
  <c r="D140" i="1"/>
  <c r="C140" i="1"/>
  <c r="B140" i="1"/>
  <c r="A140" i="1"/>
  <c r="O139" i="1"/>
  <c r="I139" i="1"/>
  <c r="M139" i="1" s="1"/>
  <c r="H139" i="1"/>
  <c r="N139" i="1" s="1"/>
  <c r="G139" i="1"/>
  <c r="F139" i="1"/>
  <c r="E139" i="1"/>
  <c r="D139" i="1"/>
  <c r="C139" i="1"/>
  <c r="B139" i="1"/>
  <c r="A139" i="1"/>
  <c r="O138" i="1"/>
  <c r="I138" i="1"/>
  <c r="H138" i="1"/>
  <c r="N138" i="1" s="1"/>
  <c r="G138" i="1"/>
  <c r="F138" i="1"/>
  <c r="E138" i="1"/>
  <c r="D138" i="1"/>
  <c r="C138" i="1"/>
  <c r="B138" i="1"/>
  <c r="A138" i="1"/>
  <c r="O137" i="1"/>
  <c r="I137" i="1"/>
  <c r="M137" i="1" s="1"/>
  <c r="H137" i="1"/>
  <c r="N137" i="1" s="1"/>
  <c r="G137" i="1"/>
  <c r="F137" i="1"/>
  <c r="E137" i="1"/>
  <c r="D137" i="1"/>
  <c r="C137" i="1"/>
  <c r="B137" i="1"/>
  <c r="A137" i="1"/>
  <c r="O136" i="1"/>
  <c r="I136" i="1"/>
  <c r="M136" i="1" s="1"/>
  <c r="H136" i="1"/>
  <c r="N136" i="1" s="1"/>
  <c r="G136" i="1"/>
  <c r="F136" i="1"/>
  <c r="E136" i="1"/>
  <c r="D136" i="1"/>
  <c r="C136" i="1"/>
  <c r="B136" i="1"/>
  <c r="A136" i="1"/>
  <c r="O135" i="1"/>
  <c r="I135" i="1"/>
  <c r="M135" i="1" s="1"/>
  <c r="H135" i="1"/>
  <c r="N135" i="1" s="1"/>
  <c r="G135" i="1"/>
  <c r="F135" i="1"/>
  <c r="E135" i="1"/>
  <c r="D135" i="1"/>
  <c r="C135" i="1"/>
  <c r="B135" i="1"/>
  <c r="A135" i="1"/>
  <c r="O134" i="1"/>
  <c r="I134" i="1"/>
  <c r="M134" i="1" s="1"/>
  <c r="H134" i="1"/>
  <c r="N134" i="1" s="1"/>
  <c r="G134" i="1"/>
  <c r="F134" i="1"/>
  <c r="E134" i="1"/>
  <c r="D134" i="1"/>
  <c r="C134" i="1"/>
  <c r="B134" i="1"/>
  <c r="A134" i="1"/>
  <c r="O133" i="1"/>
  <c r="I133" i="1"/>
  <c r="M133" i="1" s="1"/>
  <c r="H133" i="1"/>
  <c r="N133" i="1" s="1"/>
  <c r="G133" i="1"/>
  <c r="F133" i="1"/>
  <c r="E133" i="1"/>
  <c r="D133" i="1"/>
  <c r="C133" i="1"/>
  <c r="B133" i="1"/>
  <c r="A133" i="1"/>
  <c r="O132" i="1"/>
  <c r="I132" i="1"/>
  <c r="M132" i="1" s="1"/>
  <c r="H132" i="1"/>
  <c r="N132" i="1" s="1"/>
  <c r="G132" i="1"/>
  <c r="F132" i="1"/>
  <c r="E132" i="1"/>
  <c r="D132" i="1"/>
  <c r="C132" i="1"/>
  <c r="B132" i="1"/>
  <c r="A132" i="1"/>
  <c r="O131" i="1"/>
  <c r="I131" i="1"/>
  <c r="M131" i="1" s="1"/>
  <c r="H131" i="1"/>
  <c r="N131" i="1" s="1"/>
  <c r="G131" i="1"/>
  <c r="F131" i="1"/>
  <c r="E131" i="1"/>
  <c r="D131" i="1"/>
  <c r="C131" i="1"/>
  <c r="B131" i="1"/>
  <c r="A131" i="1"/>
  <c r="O130" i="1"/>
  <c r="I130" i="1"/>
  <c r="H130" i="1"/>
  <c r="N130" i="1" s="1"/>
  <c r="G130" i="1"/>
  <c r="F130" i="1"/>
  <c r="E130" i="1"/>
  <c r="D130" i="1"/>
  <c r="C130" i="1"/>
  <c r="B130" i="1"/>
  <c r="A130" i="1"/>
  <c r="O129" i="1"/>
  <c r="I129" i="1"/>
  <c r="M129" i="1" s="1"/>
  <c r="H129" i="1"/>
  <c r="N129" i="1" s="1"/>
  <c r="G129" i="1"/>
  <c r="F129" i="1"/>
  <c r="E129" i="1"/>
  <c r="D129" i="1"/>
  <c r="C129" i="1"/>
  <c r="B129" i="1"/>
  <c r="A129" i="1"/>
  <c r="O128" i="1"/>
  <c r="I128" i="1"/>
  <c r="M128" i="1" s="1"/>
  <c r="H128" i="1"/>
  <c r="N128" i="1" s="1"/>
  <c r="G128" i="1"/>
  <c r="F128" i="1"/>
  <c r="E128" i="1"/>
  <c r="D128" i="1"/>
  <c r="C128" i="1"/>
  <c r="B128" i="1"/>
  <c r="A128" i="1"/>
  <c r="O127" i="1"/>
  <c r="I127" i="1"/>
  <c r="M127" i="1" s="1"/>
  <c r="H127" i="1"/>
  <c r="N127" i="1" s="1"/>
  <c r="G127" i="1"/>
  <c r="F127" i="1"/>
  <c r="E127" i="1"/>
  <c r="D127" i="1"/>
  <c r="C127" i="1"/>
  <c r="B127" i="1"/>
  <c r="A127" i="1"/>
  <c r="O126" i="1"/>
  <c r="I126" i="1"/>
  <c r="M126" i="1" s="1"/>
  <c r="H126" i="1"/>
  <c r="N126" i="1" s="1"/>
  <c r="G126" i="1"/>
  <c r="F126" i="1"/>
  <c r="E126" i="1"/>
  <c r="D126" i="1"/>
  <c r="C126" i="1"/>
  <c r="B126" i="1"/>
  <c r="A126" i="1"/>
  <c r="O125" i="1"/>
  <c r="I125" i="1"/>
  <c r="M125" i="1" s="1"/>
  <c r="H125" i="1"/>
  <c r="N125" i="1" s="1"/>
  <c r="G125" i="1"/>
  <c r="F125" i="1"/>
  <c r="E125" i="1"/>
  <c r="D125" i="1"/>
  <c r="C125" i="1"/>
  <c r="B125" i="1"/>
  <c r="A125" i="1"/>
  <c r="O124" i="1"/>
  <c r="I124" i="1"/>
  <c r="M124" i="1" s="1"/>
  <c r="H124" i="1"/>
  <c r="N124" i="1" s="1"/>
  <c r="G124" i="1"/>
  <c r="F124" i="1"/>
  <c r="E124" i="1"/>
  <c r="D124" i="1"/>
  <c r="C124" i="1"/>
  <c r="B124" i="1"/>
  <c r="A124" i="1"/>
  <c r="O123" i="1"/>
  <c r="I123" i="1"/>
  <c r="M123" i="1" s="1"/>
  <c r="H123" i="1"/>
  <c r="N123" i="1" s="1"/>
  <c r="G123" i="1"/>
  <c r="F123" i="1"/>
  <c r="E123" i="1"/>
  <c r="D123" i="1"/>
  <c r="C123" i="1"/>
  <c r="B123" i="1"/>
  <c r="A123" i="1"/>
  <c r="O122" i="1"/>
  <c r="I122" i="1"/>
  <c r="H122" i="1"/>
  <c r="N122" i="1" s="1"/>
  <c r="G122" i="1"/>
  <c r="F122" i="1"/>
  <c r="E122" i="1"/>
  <c r="D122" i="1"/>
  <c r="C122" i="1"/>
  <c r="B122" i="1"/>
  <c r="A122" i="1"/>
  <c r="O121" i="1"/>
  <c r="I121" i="1"/>
  <c r="M121" i="1" s="1"/>
  <c r="H121" i="1"/>
  <c r="N121" i="1" s="1"/>
  <c r="G121" i="1"/>
  <c r="F121" i="1"/>
  <c r="E121" i="1"/>
  <c r="D121" i="1"/>
  <c r="C121" i="1"/>
  <c r="B121" i="1"/>
  <c r="A121" i="1"/>
  <c r="O120" i="1"/>
  <c r="I120" i="1"/>
  <c r="M120" i="1" s="1"/>
  <c r="H120" i="1"/>
  <c r="N120" i="1" s="1"/>
  <c r="G120" i="1"/>
  <c r="F120" i="1"/>
  <c r="E120" i="1"/>
  <c r="D120" i="1"/>
  <c r="C120" i="1"/>
  <c r="B120" i="1"/>
  <c r="A120" i="1"/>
  <c r="O119" i="1"/>
  <c r="I119" i="1"/>
  <c r="M119" i="1" s="1"/>
  <c r="H119" i="1"/>
  <c r="N119" i="1" s="1"/>
  <c r="G119" i="1"/>
  <c r="F119" i="1"/>
  <c r="E119" i="1"/>
  <c r="D119" i="1"/>
  <c r="C119" i="1"/>
  <c r="B119" i="1"/>
  <c r="A119" i="1"/>
  <c r="O118" i="1"/>
  <c r="I118" i="1"/>
  <c r="M118" i="1" s="1"/>
  <c r="H118" i="1"/>
  <c r="N118" i="1" s="1"/>
  <c r="G118" i="1"/>
  <c r="F118" i="1"/>
  <c r="E118" i="1"/>
  <c r="D118" i="1"/>
  <c r="C118" i="1"/>
  <c r="B118" i="1"/>
  <c r="A118" i="1"/>
  <c r="O117" i="1"/>
  <c r="I117" i="1"/>
  <c r="M117" i="1" s="1"/>
  <c r="H117" i="1"/>
  <c r="N117" i="1" s="1"/>
  <c r="G117" i="1"/>
  <c r="F117" i="1"/>
  <c r="E117" i="1"/>
  <c r="D117" i="1"/>
  <c r="C117" i="1"/>
  <c r="B117" i="1"/>
  <c r="A117" i="1"/>
  <c r="O116" i="1"/>
  <c r="I116" i="1"/>
  <c r="M116" i="1" s="1"/>
  <c r="H116" i="1"/>
  <c r="N116" i="1" s="1"/>
  <c r="G116" i="1"/>
  <c r="F116" i="1"/>
  <c r="E116" i="1"/>
  <c r="D116" i="1"/>
  <c r="C116" i="1"/>
  <c r="B116" i="1"/>
  <c r="A116" i="1"/>
  <c r="O115" i="1"/>
  <c r="I115" i="1"/>
  <c r="M115" i="1" s="1"/>
  <c r="H115" i="1"/>
  <c r="N115" i="1" s="1"/>
  <c r="G115" i="1"/>
  <c r="F115" i="1"/>
  <c r="E115" i="1"/>
  <c r="D115" i="1"/>
  <c r="C115" i="1"/>
  <c r="B115" i="1"/>
  <c r="A115" i="1"/>
  <c r="O114" i="1"/>
  <c r="I114" i="1"/>
  <c r="H114" i="1"/>
  <c r="N114" i="1" s="1"/>
  <c r="G114" i="1"/>
  <c r="F114" i="1"/>
  <c r="E114" i="1"/>
  <c r="D114" i="1"/>
  <c r="C114" i="1"/>
  <c r="B114" i="1"/>
  <c r="A114" i="1"/>
  <c r="O113" i="1"/>
  <c r="I113" i="1"/>
  <c r="M113" i="1" s="1"/>
  <c r="H113" i="1"/>
  <c r="N113" i="1" s="1"/>
  <c r="G113" i="1"/>
  <c r="F113" i="1"/>
  <c r="E113" i="1"/>
  <c r="D113" i="1"/>
  <c r="C113" i="1"/>
  <c r="B113" i="1"/>
  <c r="A113" i="1"/>
  <c r="O112" i="1"/>
  <c r="I112" i="1"/>
  <c r="M112" i="1" s="1"/>
  <c r="H112" i="1"/>
  <c r="N112" i="1" s="1"/>
  <c r="G112" i="1"/>
  <c r="F112" i="1"/>
  <c r="E112" i="1"/>
  <c r="D112" i="1"/>
  <c r="C112" i="1"/>
  <c r="B112" i="1"/>
  <c r="A112" i="1"/>
  <c r="O111" i="1"/>
  <c r="I111" i="1"/>
  <c r="M111" i="1" s="1"/>
  <c r="H111" i="1"/>
  <c r="N111" i="1" s="1"/>
  <c r="G111" i="1"/>
  <c r="F111" i="1"/>
  <c r="E111" i="1"/>
  <c r="D111" i="1"/>
  <c r="C111" i="1"/>
  <c r="B111" i="1"/>
  <c r="A111" i="1"/>
  <c r="O110" i="1"/>
  <c r="I110" i="1"/>
  <c r="M110" i="1" s="1"/>
  <c r="H110" i="1"/>
  <c r="N110" i="1" s="1"/>
  <c r="G110" i="1"/>
  <c r="F110" i="1"/>
  <c r="E110" i="1"/>
  <c r="D110" i="1"/>
  <c r="C110" i="1"/>
  <c r="B110" i="1"/>
  <c r="A110" i="1"/>
  <c r="O109" i="1"/>
  <c r="I109" i="1"/>
  <c r="M109" i="1" s="1"/>
  <c r="H109" i="1"/>
  <c r="N109" i="1" s="1"/>
  <c r="G109" i="1"/>
  <c r="F109" i="1"/>
  <c r="E109" i="1"/>
  <c r="D109" i="1"/>
  <c r="C109" i="1"/>
  <c r="B109" i="1"/>
  <c r="A109" i="1"/>
  <c r="O108" i="1"/>
  <c r="I108" i="1"/>
  <c r="M108" i="1" s="1"/>
  <c r="H108" i="1"/>
  <c r="N108" i="1" s="1"/>
  <c r="G108" i="1"/>
  <c r="F108" i="1"/>
  <c r="E108" i="1"/>
  <c r="D108" i="1"/>
  <c r="C108" i="1"/>
  <c r="B108" i="1"/>
  <c r="A108" i="1"/>
  <c r="O107" i="1"/>
  <c r="I107" i="1"/>
  <c r="M107" i="1" s="1"/>
  <c r="H107" i="1"/>
  <c r="N107" i="1" s="1"/>
  <c r="G107" i="1"/>
  <c r="F107" i="1"/>
  <c r="E107" i="1"/>
  <c r="D107" i="1"/>
  <c r="C107" i="1"/>
  <c r="B107" i="1"/>
  <c r="A107" i="1"/>
  <c r="O106" i="1"/>
  <c r="I106" i="1"/>
  <c r="H106" i="1"/>
  <c r="N106" i="1" s="1"/>
  <c r="G106" i="1"/>
  <c r="F106" i="1"/>
  <c r="E106" i="1"/>
  <c r="D106" i="1"/>
  <c r="C106" i="1"/>
  <c r="B106" i="1"/>
  <c r="A106" i="1"/>
  <c r="O105" i="1"/>
  <c r="I105" i="1"/>
  <c r="M105" i="1" s="1"/>
  <c r="H105" i="1"/>
  <c r="N105" i="1" s="1"/>
  <c r="G105" i="1"/>
  <c r="F105" i="1"/>
  <c r="E105" i="1"/>
  <c r="D105" i="1"/>
  <c r="C105" i="1"/>
  <c r="B105" i="1"/>
  <c r="A105" i="1"/>
  <c r="O104" i="1"/>
  <c r="I104" i="1"/>
  <c r="M104" i="1" s="1"/>
  <c r="H104" i="1"/>
  <c r="N104" i="1" s="1"/>
  <c r="G104" i="1"/>
  <c r="F104" i="1"/>
  <c r="E104" i="1"/>
  <c r="D104" i="1"/>
  <c r="C104" i="1"/>
  <c r="B104" i="1"/>
  <c r="A104" i="1"/>
  <c r="O103" i="1"/>
  <c r="I103" i="1"/>
  <c r="M103" i="1" s="1"/>
  <c r="H103" i="1"/>
  <c r="N103" i="1" s="1"/>
  <c r="G103" i="1"/>
  <c r="F103" i="1"/>
  <c r="E103" i="1"/>
  <c r="D103" i="1"/>
  <c r="C103" i="1"/>
  <c r="B103" i="1"/>
  <c r="A103" i="1"/>
  <c r="O102" i="1"/>
  <c r="I102" i="1"/>
  <c r="M102" i="1" s="1"/>
  <c r="H102" i="1"/>
  <c r="N102" i="1" s="1"/>
  <c r="G102" i="1"/>
  <c r="F102" i="1"/>
  <c r="E102" i="1"/>
  <c r="D102" i="1"/>
  <c r="C102" i="1"/>
  <c r="B102" i="1"/>
  <c r="A102" i="1"/>
  <c r="O101" i="1"/>
  <c r="I101" i="1"/>
  <c r="M101" i="1" s="1"/>
  <c r="H101" i="1"/>
  <c r="N101" i="1" s="1"/>
  <c r="G101" i="1"/>
  <c r="F101" i="1"/>
  <c r="E101" i="1"/>
  <c r="D101" i="1"/>
  <c r="C101" i="1"/>
  <c r="B101" i="1"/>
  <c r="A101" i="1"/>
  <c r="O100" i="1"/>
  <c r="I100" i="1"/>
  <c r="M100" i="1" s="1"/>
  <c r="H100" i="1"/>
  <c r="N100" i="1" s="1"/>
  <c r="G100" i="1"/>
  <c r="F100" i="1"/>
  <c r="E100" i="1"/>
  <c r="D100" i="1"/>
  <c r="C100" i="1"/>
  <c r="B100" i="1"/>
  <c r="A100" i="1"/>
  <c r="O99" i="1"/>
  <c r="I99" i="1"/>
  <c r="M99" i="1" s="1"/>
  <c r="H99" i="1"/>
  <c r="N99" i="1" s="1"/>
  <c r="G99" i="1"/>
  <c r="F99" i="1"/>
  <c r="E99" i="1"/>
  <c r="D99" i="1"/>
  <c r="C99" i="1"/>
  <c r="B99" i="1"/>
  <c r="A99" i="1"/>
  <c r="O98" i="1"/>
  <c r="I98" i="1"/>
  <c r="H98" i="1"/>
  <c r="N98" i="1" s="1"/>
  <c r="G98" i="1"/>
  <c r="F98" i="1"/>
  <c r="E98" i="1"/>
  <c r="D98" i="1"/>
  <c r="C98" i="1"/>
  <c r="B98" i="1"/>
  <c r="A98" i="1"/>
  <c r="O97" i="1"/>
  <c r="I97" i="1"/>
  <c r="M97" i="1" s="1"/>
  <c r="H97" i="1"/>
  <c r="N97" i="1" s="1"/>
  <c r="G97" i="1"/>
  <c r="F97" i="1"/>
  <c r="E97" i="1"/>
  <c r="D97" i="1"/>
  <c r="C97" i="1"/>
  <c r="B97" i="1"/>
  <c r="A97" i="1"/>
  <c r="O96" i="1"/>
  <c r="I96" i="1"/>
  <c r="M96" i="1" s="1"/>
  <c r="H96" i="1"/>
  <c r="N96" i="1" s="1"/>
  <c r="G96" i="1"/>
  <c r="F96" i="1"/>
  <c r="E96" i="1"/>
  <c r="D96" i="1"/>
  <c r="C96" i="1"/>
  <c r="B96" i="1"/>
  <c r="A96" i="1"/>
  <c r="O95" i="1"/>
  <c r="I95" i="1"/>
  <c r="M95" i="1" s="1"/>
  <c r="H95" i="1"/>
  <c r="N95" i="1" s="1"/>
  <c r="G95" i="1"/>
  <c r="F95" i="1"/>
  <c r="E95" i="1"/>
  <c r="D95" i="1"/>
  <c r="C95" i="1"/>
  <c r="B95" i="1"/>
  <c r="A95" i="1"/>
  <c r="O94" i="1"/>
  <c r="I94" i="1"/>
  <c r="M94" i="1" s="1"/>
  <c r="H94" i="1"/>
  <c r="N94" i="1" s="1"/>
  <c r="G94" i="1"/>
  <c r="F94" i="1"/>
  <c r="E94" i="1"/>
  <c r="D94" i="1"/>
  <c r="C94" i="1"/>
  <c r="B94" i="1"/>
  <c r="A94" i="1"/>
  <c r="O93" i="1"/>
  <c r="I93" i="1"/>
  <c r="M93" i="1" s="1"/>
  <c r="H93" i="1"/>
  <c r="N93" i="1" s="1"/>
  <c r="G93" i="1"/>
  <c r="F93" i="1"/>
  <c r="E93" i="1"/>
  <c r="D93" i="1"/>
  <c r="C93" i="1"/>
  <c r="B93" i="1"/>
  <c r="A93" i="1"/>
  <c r="O92" i="1"/>
  <c r="I92" i="1"/>
  <c r="M92" i="1" s="1"/>
  <c r="H92" i="1"/>
  <c r="N92" i="1" s="1"/>
  <c r="G92" i="1"/>
  <c r="F92" i="1"/>
  <c r="E92" i="1"/>
  <c r="D92" i="1"/>
  <c r="C92" i="1"/>
  <c r="B92" i="1"/>
  <c r="A92" i="1"/>
  <c r="O91" i="1"/>
  <c r="I91" i="1"/>
  <c r="M91" i="1" s="1"/>
  <c r="H91" i="1"/>
  <c r="N91" i="1" s="1"/>
  <c r="G91" i="1"/>
  <c r="F91" i="1"/>
  <c r="E91" i="1"/>
  <c r="D91" i="1"/>
  <c r="C91" i="1"/>
  <c r="B91" i="1"/>
  <c r="A91" i="1"/>
  <c r="O90" i="1"/>
  <c r="I90" i="1"/>
  <c r="H90" i="1"/>
  <c r="N90" i="1" s="1"/>
  <c r="G90" i="1"/>
  <c r="F90" i="1"/>
  <c r="E90" i="1"/>
  <c r="D90" i="1"/>
  <c r="C90" i="1"/>
  <c r="B90" i="1"/>
  <c r="A90" i="1"/>
  <c r="O89" i="1"/>
  <c r="I89" i="1"/>
  <c r="M89" i="1" s="1"/>
  <c r="H89" i="1"/>
  <c r="N89" i="1" s="1"/>
  <c r="G89" i="1"/>
  <c r="F89" i="1"/>
  <c r="E89" i="1"/>
  <c r="D89" i="1"/>
  <c r="C89" i="1"/>
  <c r="B89" i="1"/>
  <c r="A89" i="1"/>
  <c r="O88" i="1"/>
  <c r="I88" i="1"/>
  <c r="M88" i="1" s="1"/>
  <c r="H88" i="1"/>
  <c r="N88" i="1" s="1"/>
  <c r="G88" i="1"/>
  <c r="F88" i="1"/>
  <c r="E88" i="1"/>
  <c r="D88" i="1"/>
  <c r="C88" i="1"/>
  <c r="B88" i="1"/>
  <c r="A88" i="1"/>
  <c r="O87" i="1"/>
  <c r="I87" i="1"/>
  <c r="M87" i="1" s="1"/>
  <c r="H87" i="1"/>
  <c r="N87" i="1" s="1"/>
  <c r="G87" i="1"/>
  <c r="F87" i="1"/>
  <c r="E87" i="1"/>
  <c r="D87" i="1"/>
  <c r="C87" i="1"/>
  <c r="B87" i="1"/>
  <c r="A87" i="1"/>
  <c r="O86" i="1"/>
  <c r="I86" i="1"/>
  <c r="M86" i="1" s="1"/>
  <c r="H86" i="1"/>
  <c r="N86" i="1" s="1"/>
  <c r="G86" i="1"/>
  <c r="F86" i="1"/>
  <c r="E86" i="1"/>
  <c r="D86" i="1"/>
  <c r="C86" i="1"/>
  <c r="B86" i="1"/>
  <c r="A86" i="1"/>
  <c r="O85" i="1"/>
  <c r="I85" i="1"/>
  <c r="M85" i="1" s="1"/>
  <c r="H85" i="1"/>
  <c r="N85" i="1" s="1"/>
  <c r="G85" i="1"/>
  <c r="F85" i="1"/>
  <c r="E85" i="1"/>
  <c r="D85" i="1"/>
  <c r="C85" i="1"/>
  <c r="B85" i="1"/>
  <c r="A85" i="1"/>
  <c r="O84" i="1"/>
  <c r="I84" i="1"/>
  <c r="M84" i="1" s="1"/>
  <c r="H84" i="1"/>
  <c r="N84" i="1" s="1"/>
  <c r="G84" i="1"/>
  <c r="F84" i="1"/>
  <c r="E84" i="1"/>
  <c r="D84" i="1"/>
  <c r="C84" i="1"/>
  <c r="B84" i="1"/>
  <c r="A84" i="1"/>
  <c r="O83" i="1"/>
  <c r="I83" i="1"/>
  <c r="M83" i="1" s="1"/>
  <c r="H83" i="1"/>
  <c r="N83" i="1" s="1"/>
  <c r="G83" i="1"/>
  <c r="F83" i="1"/>
  <c r="E83" i="1"/>
  <c r="D83" i="1"/>
  <c r="C83" i="1"/>
  <c r="B83" i="1"/>
  <c r="A83" i="1"/>
  <c r="O82" i="1"/>
  <c r="I82" i="1"/>
  <c r="H82" i="1"/>
  <c r="N82" i="1" s="1"/>
  <c r="G82" i="1"/>
  <c r="F82" i="1"/>
  <c r="E82" i="1"/>
  <c r="D82" i="1"/>
  <c r="C82" i="1"/>
  <c r="B82" i="1"/>
  <c r="A82" i="1"/>
  <c r="O81" i="1"/>
  <c r="I81" i="1"/>
  <c r="M81" i="1" s="1"/>
  <c r="H81" i="1"/>
  <c r="N81" i="1" s="1"/>
  <c r="G81" i="1"/>
  <c r="F81" i="1"/>
  <c r="E81" i="1"/>
  <c r="D81" i="1"/>
  <c r="C81" i="1"/>
  <c r="B81" i="1"/>
  <c r="A81" i="1"/>
  <c r="O80" i="1"/>
  <c r="I80" i="1"/>
  <c r="M80" i="1" s="1"/>
  <c r="H80" i="1"/>
  <c r="N80" i="1" s="1"/>
  <c r="G80" i="1"/>
  <c r="F80" i="1"/>
  <c r="E80" i="1"/>
  <c r="D80" i="1"/>
  <c r="C80" i="1"/>
  <c r="B80" i="1"/>
  <c r="A80" i="1"/>
  <c r="O79" i="1"/>
  <c r="I79" i="1"/>
  <c r="M79" i="1" s="1"/>
  <c r="H79" i="1"/>
  <c r="N79" i="1" s="1"/>
  <c r="G79" i="1"/>
  <c r="F79" i="1"/>
  <c r="E79" i="1"/>
  <c r="D79" i="1"/>
  <c r="C79" i="1"/>
  <c r="B79" i="1"/>
  <c r="A79" i="1"/>
  <c r="O78" i="1"/>
  <c r="I78" i="1"/>
  <c r="M78" i="1" s="1"/>
  <c r="H78" i="1"/>
  <c r="N78" i="1" s="1"/>
  <c r="G78" i="1"/>
  <c r="F78" i="1"/>
  <c r="E78" i="1"/>
  <c r="D78" i="1"/>
  <c r="C78" i="1"/>
  <c r="B78" i="1"/>
  <c r="A78" i="1"/>
  <c r="O77" i="1"/>
  <c r="I77" i="1"/>
  <c r="M77" i="1" s="1"/>
  <c r="H77" i="1"/>
  <c r="N77" i="1" s="1"/>
  <c r="G77" i="1"/>
  <c r="F77" i="1"/>
  <c r="E77" i="1"/>
  <c r="D77" i="1"/>
  <c r="C77" i="1"/>
  <c r="B77" i="1"/>
  <c r="A77" i="1"/>
  <c r="O76" i="1"/>
  <c r="I76" i="1"/>
  <c r="M76" i="1" s="1"/>
  <c r="H76" i="1"/>
  <c r="N76" i="1" s="1"/>
  <c r="G76" i="1"/>
  <c r="F76" i="1"/>
  <c r="E76" i="1"/>
  <c r="D76" i="1"/>
  <c r="C76" i="1"/>
  <c r="B76" i="1"/>
  <c r="A76" i="1"/>
  <c r="O75" i="1"/>
  <c r="I75" i="1"/>
  <c r="M75" i="1" s="1"/>
  <c r="H75" i="1"/>
  <c r="N75" i="1" s="1"/>
  <c r="G75" i="1"/>
  <c r="F75" i="1"/>
  <c r="E75" i="1"/>
  <c r="D75" i="1"/>
  <c r="C75" i="1"/>
  <c r="B75" i="1"/>
  <c r="A75" i="1"/>
  <c r="O74" i="1"/>
  <c r="I74" i="1"/>
  <c r="M74" i="1" s="1"/>
  <c r="H74" i="1"/>
  <c r="N74" i="1" s="1"/>
  <c r="G74" i="1"/>
  <c r="F74" i="1"/>
  <c r="E74" i="1"/>
  <c r="D74" i="1"/>
  <c r="C74" i="1"/>
  <c r="B74" i="1"/>
  <c r="A74" i="1"/>
  <c r="O73" i="1"/>
  <c r="I73" i="1"/>
  <c r="M73" i="1" s="1"/>
  <c r="H73" i="1"/>
  <c r="N73" i="1" s="1"/>
  <c r="G73" i="1"/>
  <c r="F73" i="1"/>
  <c r="E73" i="1"/>
  <c r="D73" i="1"/>
  <c r="C73" i="1"/>
  <c r="B73" i="1"/>
  <c r="A73" i="1"/>
  <c r="O72" i="1"/>
  <c r="I72" i="1"/>
  <c r="M72" i="1" s="1"/>
  <c r="H72" i="1"/>
  <c r="N72" i="1" s="1"/>
  <c r="G72" i="1"/>
  <c r="F72" i="1"/>
  <c r="E72" i="1"/>
  <c r="D72" i="1"/>
  <c r="C72" i="1"/>
  <c r="B72" i="1"/>
  <c r="A72" i="1"/>
  <c r="O71" i="1"/>
  <c r="I71" i="1"/>
  <c r="M71" i="1" s="1"/>
  <c r="H71" i="1"/>
  <c r="N71" i="1" s="1"/>
  <c r="G71" i="1"/>
  <c r="F71" i="1"/>
  <c r="E71" i="1"/>
  <c r="D71" i="1"/>
  <c r="C71" i="1"/>
  <c r="B71" i="1"/>
  <c r="A71" i="1"/>
  <c r="O70" i="1"/>
  <c r="I70" i="1"/>
  <c r="M70" i="1" s="1"/>
  <c r="H70" i="1"/>
  <c r="N70" i="1" s="1"/>
  <c r="G70" i="1"/>
  <c r="F70" i="1"/>
  <c r="E70" i="1"/>
  <c r="D70" i="1"/>
  <c r="C70" i="1"/>
  <c r="B70" i="1"/>
  <c r="A70" i="1"/>
  <c r="O69" i="1"/>
  <c r="I69" i="1"/>
  <c r="M69" i="1" s="1"/>
  <c r="H69" i="1"/>
  <c r="N69" i="1" s="1"/>
  <c r="G69" i="1"/>
  <c r="F69" i="1"/>
  <c r="E69" i="1"/>
  <c r="D69" i="1"/>
  <c r="C69" i="1"/>
  <c r="B69" i="1"/>
  <c r="A69" i="1"/>
  <c r="O68" i="1"/>
  <c r="I68" i="1"/>
  <c r="M68" i="1" s="1"/>
  <c r="H68" i="1"/>
  <c r="N68" i="1" s="1"/>
  <c r="G68" i="1"/>
  <c r="F68" i="1"/>
  <c r="E68" i="1"/>
  <c r="D68" i="1"/>
  <c r="C68" i="1"/>
  <c r="B68" i="1"/>
  <c r="A68" i="1"/>
  <c r="O67" i="1"/>
  <c r="I67" i="1"/>
  <c r="M67" i="1" s="1"/>
  <c r="H67" i="1"/>
  <c r="N67" i="1" s="1"/>
  <c r="G67" i="1"/>
  <c r="F67" i="1"/>
  <c r="E67" i="1"/>
  <c r="D67" i="1"/>
  <c r="C67" i="1"/>
  <c r="B67" i="1"/>
  <c r="A67" i="1"/>
  <c r="O66" i="1"/>
  <c r="I66" i="1"/>
  <c r="M66" i="1" s="1"/>
  <c r="H66" i="1"/>
  <c r="N66" i="1" s="1"/>
  <c r="G66" i="1"/>
  <c r="F66" i="1"/>
  <c r="E66" i="1"/>
  <c r="D66" i="1"/>
  <c r="C66" i="1"/>
  <c r="B66" i="1"/>
  <c r="A66" i="1"/>
  <c r="O65" i="1"/>
  <c r="I65" i="1"/>
  <c r="M65" i="1" s="1"/>
  <c r="H65" i="1"/>
  <c r="N65" i="1" s="1"/>
  <c r="G65" i="1"/>
  <c r="F65" i="1"/>
  <c r="E65" i="1"/>
  <c r="D65" i="1"/>
  <c r="C65" i="1"/>
  <c r="B65" i="1"/>
  <c r="A65" i="1"/>
  <c r="O64" i="1"/>
  <c r="I64" i="1"/>
  <c r="M64" i="1" s="1"/>
  <c r="H64" i="1"/>
  <c r="N64" i="1" s="1"/>
  <c r="G64" i="1"/>
  <c r="F64" i="1"/>
  <c r="E64" i="1"/>
  <c r="D64" i="1"/>
  <c r="C64" i="1"/>
  <c r="B64" i="1"/>
  <c r="A64" i="1"/>
  <c r="O63" i="1"/>
  <c r="I63" i="1"/>
  <c r="M63" i="1" s="1"/>
  <c r="H63" i="1"/>
  <c r="N63" i="1" s="1"/>
  <c r="G63" i="1"/>
  <c r="F63" i="1"/>
  <c r="E63" i="1"/>
  <c r="D63" i="1"/>
  <c r="C63" i="1"/>
  <c r="B63" i="1"/>
  <c r="A63" i="1"/>
  <c r="O62" i="1"/>
  <c r="I62" i="1"/>
  <c r="M62" i="1" s="1"/>
  <c r="H62" i="1"/>
  <c r="N62" i="1" s="1"/>
  <c r="G62" i="1"/>
  <c r="F62" i="1"/>
  <c r="E62" i="1"/>
  <c r="D62" i="1"/>
  <c r="C62" i="1"/>
  <c r="B62" i="1"/>
  <c r="A62" i="1"/>
  <c r="O61" i="1"/>
  <c r="I61" i="1"/>
  <c r="M61" i="1" s="1"/>
  <c r="H61" i="1"/>
  <c r="N61" i="1" s="1"/>
  <c r="G61" i="1"/>
  <c r="F61" i="1"/>
  <c r="E61" i="1"/>
  <c r="D61" i="1"/>
  <c r="C61" i="1"/>
  <c r="B61" i="1"/>
  <c r="A61" i="1"/>
  <c r="O60" i="1"/>
  <c r="I60" i="1"/>
  <c r="M60" i="1" s="1"/>
  <c r="H60" i="1"/>
  <c r="N60" i="1" s="1"/>
  <c r="G60" i="1"/>
  <c r="F60" i="1"/>
  <c r="E60" i="1"/>
  <c r="D60" i="1"/>
  <c r="C60" i="1"/>
  <c r="B60" i="1"/>
  <c r="A60" i="1"/>
  <c r="O59" i="1"/>
  <c r="I59" i="1"/>
  <c r="M59" i="1" s="1"/>
  <c r="H59" i="1"/>
  <c r="N59" i="1" s="1"/>
  <c r="G59" i="1"/>
  <c r="F59" i="1"/>
  <c r="E59" i="1"/>
  <c r="D59" i="1"/>
  <c r="C59" i="1"/>
  <c r="B59" i="1"/>
  <c r="A59" i="1"/>
  <c r="O58" i="1"/>
  <c r="I58" i="1"/>
  <c r="M58" i="1" s="1"/>
  <c r="H58" i="1"/>
  <c r="N58" i="1" s="1"/>
  <c r="G58" i="1"/>
  <c r="F58" i="1"/>
  <c r="E58" i="1"/>
  <c r="D58" i="1"/>
  <c r="C58" i="1"/>
  <c r="B58" i="1"/>
  <c r="A58" i="1"/>
  <c r="O57" i="1"/>
  <c r="I57" i="1"/>
  <c r="M57" i="1" s="1"/>
  <c r="H57" i="1"/>
  <c r="N57" i="1" s="1"/>
  <c r="G57" i="1"/>
  <c r="F57" i="1"/>
  <c r="E57" i="1"/>
  <c r="D57" i="1"/>
  <c r="C57" i="1"/>
  <c r="B57" i="1"/>
  <c r="A57" i="1"/>
  <c r="O56" i="1"/>
  <c r="I56" i="1"/>
  <c r="M56" i="1" s="1"/>
  <c r="H56" i="1"/>
  <c r="N56" i="1" s="1"/>
  <c r="G56" i="1"/>
  <c r="F56" i="1"/>
  <c r="E56" i="1"/>
  <c r="D56" i="1"/>
  <c r="C56" i="1"/>
  <c r="B56" i="1"/>
  <c r="A56" i="1"/>
  <c r="O55" i="1"/>
  <c r="I55" i="1"/>
  <c r="M55" i="1" s="1"/>
  <c r="H55" i="1"/>
  <c r="N55" i="1" s="1"/>
  <c r="G55" i="1"/>
  <c r="F55" i="1"/>
  <c r="E55" i="1"/>
  <c r="D55" i="1"/>
  <c r="C55" i="1"/>
  <c r="B55" i="1"/>
  <c r="A55" i="1"/>
  <c r="O54" i="1"/>
  <c r="I54" i="1"/>
  <c r="M54" i="1" s="1"/>
  <c r="H54" i="1"/>
  <c r="N54" i="1" s="1"/>
  <c r="G54" i="1"/>
  <c r="F54" i="1"/>
  <c r="E54" i="1"/>
  <c r="D54" i="1"/>
  <c r="C54" i="1"/>
  <c r="B54" i="1"/>
  <c r="A54" i="1"/>
  <c r="O53" i="1"/>
  <c r="I53" i="1"/>
  <c r="M53" i="1" s="1"/>
  <c r="H53" i="1"/>
  <c r="N53" i="1" s="1"/>
  <c r="G53" i="1"/>
  <c r="F53" i="1"/>
  <c r="E53" i="1"/>
  <c r="D53" i="1"/>
  <c r="C53" i="1"/>
  <c r="B53" i="1"/>
  <c r="A53" i="1"/>
  <c r="O52" i="1"/>
  <c r="I52" i="1"/>
  <c r="M52" i="1" s="1"/>
  <c r="H52" i="1"/>
  <c r="N52" i="1" s="1"/>
  <c r="G52" i="1"/>
  <c r="F52" i="1"/>
  <c r="E52" i="1"/>
  <c r="D52" i="1"/>
  <c r="C52" i="1"/>
  <c r="B52" i="1"/>
  <c r="A52" i="1"/>
  <c r="O51" i="1"/>
  <c r="I51" i="1"/>
  <c r="M51" i="1" s="1"/>
  <c r="H51" i="1"/>
  <c r="N51" i="1" s="1"/>
  <c r="G51" i="1"/>
  <c r="F51" i="1"/>
  <c r="E51" i="1"/>
  <c r="D51" i="1"/>
  <c r="C51" i="1"/>
  <c r="B51" i="1"/>
  <c r="A51" i="1"/>
  <c r="O50" i="1"/>
  <c r="I50" i="1"/>
  <c r="M50" i="1" s="1"/>
  <c r="H50" i="1"/>
  <c r="N50" i="1" s="1"/>
  <c r="G50" i="1"/>
  <c r="F50" i="1"/>
  <c r="E50" i="1"/>
  <c r="D50" i="1"/>
  <c r="C50" i="1"/>
  <c r="B50" i="1"/>
  <c r="A50" i="1"/>
  <c r="O49" i="1"/>
  <c r="I49" i="1"/>
  <c r="M49" i="1" s="1"/>
  <c r="H49" i="1"/>
  <c r="N49" i="1" s="1"/>
  <c r="G49" i="1"/>
  <c r="F49" i="1"/>
  <c r="E49" i="1"/>
  <c r="D49" i="1"/>
  <c r="C49" i="1"/>
  <c r="B49" i="1"/>
  <c r="A49" i="1"/>
  <c r="O48" i="1"/>
  <c r="I48" i="1"/>
  <c r="M48" i="1" s="1"/>
  <c r="H48" i="1"/>
  <c r="N48" i="1" s="1"/>
  <c r="G48" i="1"/>
  <c r="F48" i="1"/>
  <c r="E48" i="1"/>
  <c r="D48" i="1"/>
  <c r="C48" i="1"/>
  <c r="B48" i="1"/>
  <c r="A48" i="1"/>
  <c r="O47" i="1"/>
  <c r="I47" i="1"/>
  <c r="M47" i="1" s="1"/>
  <c r="H47" i="1"/>
  <c r="N47" i="1" s="1"/>
  <c r="G47" i="1"/>
  <c r="F47" i="1"/>
  <c r="E47" i="1"/>
  <c r="D47" i="1"/>
  <c r="C47" i="1"/>
  <c r="B47" i="1"/>
  <c r="A47" i="1"/>
  <c r="O46" i="1"/>
  <c r="I46" i="1"/>
  <c r="M46" i="1" s="1"/>
  <c r="H46" i="1"/>
  <c r="N46" i="1" s="1"/>
  <c r="G46" i="1"/>
  <c r="F46" i="1"/>
  <c r="E46" i="1"/>
  <c r="D46" i="1"/>
  <c r="C46" i="1"/>
  <c r="B46" i="1"/>
  <c r="A46" i="1"/>
  <c r="O45" i="1"/>
  <c r="I45" i="1"/>
  <c r="M45" i="1" s="1"/>
  <c r="H45" i="1"/>
  <c r="N45" i="1" s="1"/>
  <c r="G45" i="1"/>
  <c r="F45" i="1"/>
  <c r="E45" i="1"/>
  <c r="D45" i="1"/>
  <c r="C45" i="1"/>
  <c r="B45" i="1"/>
  <c r="A45" i="1"/>
  <c r="O44" i="1"/>
  <c r="I44" i="1"/>
  <c r="M44" i="1" s="1"/>
  <c r="H44" i="1"/>
  <c r="N44" i="1" s="1"/>
  <c r="G44" i="1"/>
  <c r="F44" i="1"/>
  <c r="E44" i="1"/>
  <c r="D44" i="1"/>
  <c r="C44" i="1"/>
  <c r="B44" i="1"/>
  <c r="A44" i="1"/>
  <c r="O43" i="1"/>
  <c r="I43" i="1"/>
  <c r="M43" i="1" s="1"/>
  <c r="H43" i="1"/>
  <c r="N43" i="1" s="1"/>
  <c r="G43" i="1"/>
  <c r="F43" i="1"/>
  <c r="E43" i="1"/>
  <c r="D43" i="1"/>
  <c r="C43" i="1"/>
  <c r="B43" i="1"/>
  <c r="A43" i="1"/>
  <c r="O42" i="1"/>
  <c r="I42" i="1"/>
  <c r="M42" i="1" s="1"/>
  <c r="H42" i="1"/>
  <c r="N42" i="1" s="1"/>
  <c r="G42" i="1"/>
  <c r="F42" i="1"/>
  <c r="E42" i="1"/>
  <c r="D42" i="1"/>
  <c r="C42" i="1"/>
  <c r="B42" i="1"/>
  <c r="A42" i="1"/>
  <c r="O41" i="1"/>
  <c r="I41" i="1"/>
  <c r="M41" i="1" s="1"/>
  <c r="H41" i="1"/>
  <c r="N41" i="1" s="1"/>
  <c r="G41" i="1"/>
  <c r="F41" i="1"/>
  <c r="E41" i="1"/>
  <c r="D41" i="1"/>
  <c r="C41" i="1"/>
  <c r="B41" i="1"/>
  <c r="A41" i="1"/>
  <c r="O40" i="1"/>
  <c r="I40" i="1"/>
  <c r="M40" i="1" s="1"/>
  <c r="H40" i="1"/>
  <c r="N40" i="1" s="1"/>
  <c r="G40" i="1"/>
  <c r="F40" i="1"/>
  <c r="E40" i="1"/>
  <c r="D40" i="1"/>
  <c r="C40" i="1"/>
  <c r="B40" i="1"/>
  <c r="A40" i="1"/>
  <c r="O39" i="1"/>
  <c r="I39" i="1"/>
  <c r="M39" i="1" s="1"/>
  <c r="H39" i="1"/>
  <c r="N39" i="1" s="1"/>
  <c r="G39" i="1"/>
  <c r="F39" i="1"/>
  <c r="E39" i="1"/>
  <c r="D39" i="1"/>
  <c r="C39" i="1"/>
  <c r="B39" i="1"/>
  <c r="A39" i="1"/>
  <c r="O38" i="1"/>
  <c r="I38" i="1"/>
  <c r="M38" i="1" s="1"/>
  <c r="H38" i="1"/>
  <c r="N38" i="1" s="1"/>
  <c r="G38" i="1"/>
  <c r="F38" i="1"/>
  <c r="E38" i="1"/>
  <c r="D38" i="1"/>
  <c r="C38" i="1"/>
  <c r="B38" i="1"/>
  <c r="A38" i="1"/>
  <c r="O37" i="1"/>
  <c r="I37" i="1"/>
  <c r="M37" i="1" s="1"/>
  <c r="H37" i="1"/>
  <c r="N37" i="1" s="1"/>
  <c r="G37" i="1"/>
  <c r="F37" i="1"/>
  <c r="E37" i="1"/>
  <c r="D37" i="1"/>
  <c r="C37" i="1"/>
  <c r="B37" i="1"/>
  <c r="A37" i="1"/>
  <c r="O36" i="1"/>
  <c r="I36" i="1"/>
  <c r="M36" i="1" s="1"/>
  <c r="H36" i="1"/>
  <c r="N36" i="1" s="1"/>
  <c r="G36" i="1"/>
  <c r="F36" i="1"/>
  <c r="E36" i="1"/>
  <c r="D36" i="1"/>
  <c r="C36" i="1"/>
  <c r="B36" i="1"/>
  <c r="A36" i="1"/>
  <c r="O35" i="1"/>
  <c r="I35" i="1"/>
  <c r="M35" i="1" s="1"/>
  <c r="H35" i="1"/>
  <c r="N35" i="1" s="1"/>
  <c r="G35" i="1"/>
  <c r="F35" i="1"/>
  <c r="E35" i="1"/>
  <c r="D35" i="1"/>
  <c r="C35" i="1"/>
  <c r="B35" i="1"/>
  <c r="A35" i="1"/>
  <c r="O34" i="1"/>
  <c r="I34" i="1"/>
  <c r="M34" i="1" s="1"/>
  <c r="H34" i="1"/>
  <c r="N34" i="1" s="1"/>
  <c r="G34" i="1"/>
  <c r="F34" i="1"/>
  <c r="E34" i="1"/>
  <c r="D34" i="1"/>
  <c r="C34" i="1"/>
  <c r="B34" i="1"/>
  <c r="A34" i="1"/>
  <c r="O33" i="1"/>
  <c r="I33" i="1"/>
  <c r="M33" i="1" s="1"/>
  <c r="H33" i="1"/>
  <c r="N33" i="1" s="1"/>
  <c r="G33" i="1"/>
  <c r="F33" i="1"/>
  <c r="E33" i="1"/>
  <c r="D33" i="1"/>
  <c r="C33" i="1"/>
  <c r="B33" i="1"/>
  <c r="A33" i="1"/>
  <c r="O32" i="1"/>
  <c r="I32" i="1"/>
  <c r="M32" i="1" s="1"/>
  <c r="H32" i="1"/>
  <c r="N32" i="1" s="1"/>
  <c r="G32" i="1"/>
  <c r="F32" i="1"/>
  <c r="E32" i="1"/>
  <c r="D32" i="1"/>
  <c r="C32" i="1"/>
  <c r="B32" i="1"/>
  <c r="A32" i="1"/>
  <c r="O31" i="1"/>
  <c r="I31" i="1"/>
  <c r="M31" i="1" s="1"/>
  <c r="H31" i="1"/>
  <c r="N31" i="1" s="1"/>
  <c r="G31" i="1"/>
  <c r="F31" i="1"/>
  <c r="E31" i="1"/>
  <c r="D31" i="1"/>
  <c r="C31" i="1"/>
  <c r="B31" i="1"/>
  <c r="A31" i="1"/>
  <c r="O30" i="1"/>
  <c r="I30" i="1"/>
  <c r="M30" i="1" s="1"/>
  <c r="H30" i="1"/>
  <c r="N30" i="1" s="1"/>
  <c r="G30" i="1"/>
  <c r="F30" i="1"/>
  <c r="E30" i="1"/>
  <c r="D30" i="1"/>
  <c r="C30" i="1"/>
  <c r="B30" i="1"/>
  <c r="A30" i="1"/>
  <c r="O29" i="1"/>
  <c r="I29" i="1"/>
  <c r="M29" i="1" s="1"/>
  <c r="H29" i="1"/>
  <c r="N29" i="1" s="1"/>
  <c r="G29" i="1"/>
  <c r="F29" i="1"/>
  <c r="E29" i="1"/>
  <c r="D29" i="1"/>
  <c r="C29" i="1"/>
  <c r="B29" i="1"/>
  <c r="A29" i="1"/>
  <c r="O28" i="1"/>
  <c r="I28" i="1"/>
  <c r="M28" i="1" s="1"/>
  <c r="H28" i="1"/>
  <c r="N28" i="1" s="1"/>
  <c r="G28" i="1"/>
  <c r="F28" i="1"/>
  <c r="E28" i="1"/>
  <c r="D28" i="1"/>
  <c r="C28" i="1"/>
  <c r="B28" i="1"/>
  <c r="A28" i="1"/>
  <c r="O27" i="1"/>
  <c r="I27" i="1"/>
  <c r="M27" i="1" s="1"/>
  <c r="H27" i="1"/>
  <c r="N27" i="1" s="1"/>
  <c r="G27" i="1"/>
  <c r="F27" i="1"/>
  <c r="E27" i="1"/>
  <c r="D27" i="1"/>
  <c r="C27" i="1"/>
  <c r="B27" i="1"/>
  <c r="A27" i="1"/>
  <c r="O26" i="1"/>
  <c r="I26" i="1"/>
  <c r="M26" i="1" s="1"/>
  <c r="H26" i="1"/>
  <c r="N26" i="1" s="1"/>
  <c r="G26" i="1"/>
  <c r="F26" i="1"/>
  <c r="E26" i="1"/>
  <c r="D26" i="1"/>
  <c r="C26" i="1"/>
  <c r="B26" i="1"/>
  <c r="A26" i="1"/>
  <c r="O25" i="1"/>
  <c r="I25" i="1"/>
  <c r="M25" i="1" s="1"/>
  <c r="H25" i="1"/>
  <c r="N25" i="1" s="1"/>
  <c r="G25" i="1"/>
  <c r="F25" i="1"/>
  <c r="E25" i="1"/>
  <c r="D25" i="1"/>
  <c r="C25" i="1"/>
  <c r="B25" i="1"/>
  <c r="A25" i="1"/>
  <c r="O24" i="1"/>
  <c r="I24" i="1"/>
  <c r="M24" i="1" s="1"/>
  <c r="H24" i="1"/>
  <c r="N24" i="1" s="1"/>
  <c r="G24" i="1"/>
  <c r="F24" i="1"/>
  <c r="E24" i="1"/>
  <c r="D24" i="1"/>
  <c r="C24" i="1"/>
  <c r="B24" i="1"/>
  <c r="A24" i="1"/>
  <c r="O23" i="1"/>
  <c r="I23" i="1"/>
  <c r="M23" i="1" s="1"/>
  <c r="H23" i="1"/>
  <c r="N23" i="1" s="1"/>
  <c r="G23" i="1"/>
  <c r="F23" i="1"/>
  <c r="E23" i="1"/>
  <c r="D23" i="1"/>
  <c r="C23" i="1"/>
  <c r="B23" i="1"/>
  <c r="A23" i="1"/>
  <c r="O22" i="1"/>
  <c r="I22" i="1"/>
  <c r="M22" i="1" s="1"/>
  <c r="H22" i="1"/>
  <c r="N22" i="1" s="1"/>
  <c r="G22" i="1"/>
  <c r="F22" i="1"/>
  <c r="E22" i="1"/>
  <c r="D22" i="1"/>
  <c r="C22" i="1"/>
  <c r="B22" i="1"/>
  <c r="A22" i="1"/>
  <c r="O21" i="1"/>
  <c r="I21" i="1"/>
  <c r="M21" i="1" s="1"/>
  <c r="H21" i="1"/>
  <c r="N21" i="1" s="1"/>
  <c r="G21" i="1"/>
  <c r="F21" i="1"/>
  <c r="E21" i="1"/>
  <c r="D21" i="1"/>
  <c r="C21" i="1"/>
  <c r="B21" i="1"/>
  <c r="A21" i="1"/>
  <c r="O20" i="1"/>
  <c r="I20" i="1"/>
  <c r="M20" i="1" s="1"/>
  <c r="H20" i="1"/>
  <c r="N20" i="1" s="1"/>
  <c r="G20" i="1"/>
  <c r="F20" i="1"/>
  <c r="E20" i="1"/>
  <c r="D20" i="1"/>
  <c r="C20" i="1"/>
  <c r="B20" i="1"/>
  <c r="A20" i="1"/>
  <c r="O19" i="1"/>
  <c r="I19" i="1"/>
  <c r="M19" i="1" s="1"/>
  <c r="H19" i="1"/>
  <c r="N19" i="1" s="1"/>
  <c r="G19" i="1"/>
  <c r="F19" i="1"/>
  <c r="E19" i="1"/>
  <c r="D19" i="1"/>
  <c r="C19" i="1"/>
  <c r="B19" i="1"/>
  <c r="A19" i="1"/>
  <c r="O18" i="1"/>
  <c r="I18" i="1"/>
  <c r="M18" i="1" s="1"/>
  <c r="H18" i="1"/>
  <c r="N18" i="1" s="1"/>
  <c r="G18" i="1"/>
  <c r="F18" i="1"/>
  <c r="E18" i="1"/>
  <c r="D18" i="1"/>
  <c r="C18" i="1"/>
  <c r="B18" i="1"/>
  <c r="A18" i="1"/>
  <c r="O17" i="1"/>
  <c r="I17" i="1"/>
  <c r="M17" i="1" s="1"/>
  <c r="H17" i="1"/>
  <c r="N17" i="1" s="1"/>
  <c r="G17" i="1"/>
  <c r="F17" i="1"/>
  <c r="E17" i="1"/>
  <c r="D17" i="1"/>
  <c r="C17" i="1"/>
  <c r="B17" i="1"/>
  <c r="A17" i="1"/>
  <c r="O16" i="1"/>
  <c r="I16" i="1"/>
  <c r="M16" i="1" s="1"/>
  <c r="H16" i="1"/>
  <c r="N16" i="1" s="1"/>
  <c r="G16" i="1"/>
  <c r="F16" i="1"/>
  <c r="E16" i="1"/>
  <c r="D16" i="1"/>
  <c r="C16" i="1"/>
  <c r="B16" i="1"/>
  <c r="A16" i="1"/>
  <c r="O15" i="1"/>
  <c r="I15" i="1"/>
  <c r="M15" i="1" s="1"/>
  <c r="H15" i="1"/>
  <c r="N15" i="1" s="1"/>
  <c r="G15" i="1"/>
  <c r="F15" i="1"/>
  <c r="E15" i="1"/>
  <c r="D15" i="1"/>
  <c r="C15" i="1"/>
  <c r="B15" i="1"/>
  <c r="A15" i="1"/>
  <c r="O14" i="1"/>
  <c r="I14" i="1"/>
  <c r="M14" i="1" s="1"/>
  <c r="H14" i="1"/>
  <c r="N14" i="1" s="1"/>
  <c r="G14" i="1"/>
  <c r="F14" i="1"/>
  <c r="E14" i="1"/>
  <c r="D14" i="1"/>
  <c r="C14" i="1"/>
  <c r="B14" i="1"/>
  <c r="A14" i="1"/>
  <c r="O13" i="1"/>
  <c r="I13" i="1"/>
  <c r="M13" i="1" s="1"/>
  <c r="H13" i="1"/>
  <c r="N13" i="1" s="1"/>
  <c r="G13" i="1"/>
  <c r="F13" i="1"/>
  <c r="E13" i="1"/>
  <c r="D13" i="1"/>
  <c r="C13" i="1"/>
  <c r="B13" i="1"/>
  <c r="A13" i="1"/>
  <c r="O12" i="1"/>
  <c r="I12" i="1"/>
  <c r="M12" i="1" s="1"/>
  <c r="H12" i="1"/>
  <c r="N12" i="1" s="1"/>
  <c r="G12" i="1"/>
  <c r="F12" i="1"/>
  <c r="E12" i="1"/>
  <c r="D12" i="1"/>
  <c r="C12" i="1"/>
  <c r="B12" i="1"/>
  <c r="A12" i="1"/>
  <c r="O11" i="1"/>
  <c r="I11" i="1"/>
  <c r="M11" i="1" s="1"/>
  <c r="H11" i="1"/>
  <c r="N11" i="1" s="1"/>
  <c r="G11" i="1"/>
  <c r="F11" i="1"/>
  <c r="E11" i="1"/>
  <c r="D11" i="1"/>
  <c r="C11" i="1"/>
  <c r="B11" i="1"/>
  <c r="A11" i="1"/>
  <c r="O10" i="1"/>
  <c r="I10" i="1"/>
  <c r="M10" i="1" s="1"/>
  <c r="H10" i="1"/>
  <c r="N10" i="1" s="1"/>
  <c r="G10" i="1"/>
  <c r="F10" i="1"/>
  <c r="E10" i="1"/>
  <c r="D10" i="1"/>
  <c r="C10" i="1"/>
  <c r="B10" i="1"/>
  <c r="A10" i="1"/>
  <c r="O9" i="1"/>
  <c r="I9" i="1"/>
  <c r="M9" i="1" s="1"/>
  <c r="H9" i="1"/>
  <c r="N9" i="1" s="1"/>
  <c r="G9" i="1"/>
  <c r="F9" i="1"/>
  <c r="E9" i="1"/>
  <c r="D9" i="1"/>
  <c r="C9" i="1"/>
  <c r="B9" i="1"/>
  <c r="A9" i="1"/>
  <c r="O8" i="1"/>
  <c r="I8" i="1"/>
  <c r="M8" i="1" s="1"/>
  <c r="H8" i="1"/>
  <c r="N8" i="1" s="1"/>
  <c r="G8" i="1"/>
  <c r="F8" i="1"/>
  <c r="E8" i="1"/>
  <c r="D8" i="1"/>
  <c r="C8" i="1"/>
  <c r="B8" i="1"/>
  <c r="A8" i="1"/>
  <c r="O7" i="1"/>
  <c r="I7" i="1"/>
  <c r="M7" i="1" s="1"/>
  <c r="H7" i="1"/>
  <c r="N7" i="1" s="1"/>
  <c r="G7" i="1"/>
  <c r="F7" i="1"/>
  <c r="E7" i="1"/>
  <c r="D7" i="1"/>
  <c r="C7" i="1"/>
  <c r="B7" i="1"/>
  <c r="A7" i="1"/>
  <c r="O6" i="1"/>
  <c r="I6" i="1"/>
  <c r="M6" i="1" s="1"/>
  <c r="H6" i="1"/>
  <c r="N6" i="1" s="1"/>
  <c r="G6" i="1"/>
  <c r="F6" i="1"/>
  <c r="E6" i="1"/>
  <c r="D6" i="1"/>
  <c r="C6" i="1"/>
  <c r="B6" i="1"/>
  <c r="A6" i="1"/>
  <c r="O5" i="1"/>
  <c r="I5" i="1"/>
  <c r="M5" i="1" s="1"/>
  <c r="H5" i="1"/>
  <c r="N5" i="1" s="1"/>
  <c r="G5" i="1"/>
  <c r="F5" i="1"/>
  <c r="E5" i="1"/>
  <c r="D5" i="1"/>
  <c r="C5" i="1"/>
  <c r="B5" i="1"/>
  <c r="A5" i="1"/>
  <c r="O4" i="1"/>
  <c r="I4" i="1"/>
  <c r="M4" i="1" s="1"/>
  <c r="H4" i="1"/>
  <c r="N4" i="1" s="1"/>
  <c r="G4" i="1"/>
  <c r="F4" i="1"/>
  <c r="E4" i="1"/>
  <c r="D4" i="1"/>
  <c r="C4" i="1"/>
  <c r="B4" i="1"/>
  <c r="A4" i="1"/>
  <c r="O3" i="1"/>
  <c r="I3" i="1"/>
  <c r="M3" i="1" s="1"/>
  <c r="H3" i="1"/>
  <c r="N3" i="1" s="1"/>
  <c r="G3" i="1"/>
  <c r="F3" i="1"/>
  <c r="E3" i="1"/>
  <c r="D3" i="1"/>
  <c r="C3" i="1"/>
  <c r="B3" i="1"/>
  <c r="A3" i="1"/>
  <c r="O2" i="1"/>
  <c r="I2" i="1"/>
  <c r="M2" i="1" s="1"/>
  <c r="H2" i="1"/>
  <c r="N2" i="1" s="1"/>
  <c r="G2" i="1"/>
  <c r="F2" i="1"/>
  <c r="E2" i="1"/>
  <c r="D2" i="1"/>
  <c r="C2" i="1"/>
  <c r="B2" i="1"/>
  <c r="A2" i="1"/>
  <c r="J89" i="1" l="1"/>
  <c r="J101" i="1"/>
  <c r="H8" i="7"/>
  <c r="B15" i="7"/>
  <c r="L40" i="1"/>
  <c r="L44" i="1"/>
  <c r="L48" i="1"/>
  <c r="L56" i="1"/>
  <c r="L60" i="1"/>
  <c r="L64" i="1"/>
  <c r="J187" i="1"/>
  <c r="K187" i="1" s="1"/>
  <c r="B11" i="7"/>
  <c r="B12" i="7"/>
  <c r="J8" i="7"/>
  <c r="L68" i="1"/>
  <c r="L92" i="1"/>
  <c r="B26" i="5"/>
  <c r="L157" i="1"/>
  <c r="C22" i="6"/>
  <c r="J133" i="1"/>
  <c r="K133" i="1" s="1"/>
  <c r="A23" i="6"/>
  <c r="B7" i="5"/>
  <c r="L67" i="1"/>
  <c r="J71" i="1"/>
  <c r="K71" i="1" s="1"/>
  <c r="L107" i="1"/>
  <c r="L119" i="1"/>
  <c r="L123" i="1"/>
  <c r="L135" i="1"/>
  <c r="J179" i="1"/>
  <c r="K179" i="1" s="1"/>
  <c r="J183" i="1"/>
  <c r="K183" i="1" s="1"/>
  <c r="C13" i="5"/>
  <c r="D13" i="5" s="1"/>
  <c r="E11" i="4"/>
  <c r="F11" i="4" s="1"/>
  <c r="G11" i="4" s="1"/>
  <c r="D19" i="5"/>
  <c r="E19" i="5" s="1"/>
  <c r="A29" i="5" s="1"/>
  <c r="L18" i="1"/>
  <c r="L34" i="1"/>
  <c r="L38" i="1"/>
  <c r="J143" i="1"/>
  <c r="K143" i="1" s="1"/>
  <c r="B9" i="3"/>
  <c r="C7" i="3" s="1"/>
  <c r="D18" i="5"/>
  <c r="E18" i="5" s="1"/>
  <c r="F19" i="5"/>
  <c r="J11" i="1"/>
  <c r="K11" i="1" s="1"/>
  <c r="J99" i="1"/>
  <c r="K99" i="1" s="1"/>
  <c r="L167" i="1"/>
  <c r="J171" i="1"/>
  <c r="K171" i="1" s="1"/>
  <c r="G19" i="5"/>
  <c r="L187" i="1"/>
  <c r="F18" i="5"/>
  <c r="A22" i="5"/>
  <c r="J191" i="1"/>
  <c r="K191" i="1" s="1"/>
  <c r="F9" i="3"/>
  <c r="G6" i="3" s="1"/>
  <c r="C18" i="3"/>
  <c r="G18" i="5"/>
  <c r="B10" i="4"/>
  <c r="L8" i="1"/>
  <c r="L12" i="1"/>
  <c r="L16" i="1"/>
  <c r="J35" i="1"/>
  <c r="K35" i="1" s="1"/>
  <c r="L61" i="1"/>
  <c r="L102" i="1"/>
  <c r="J113" i="1"/>
  <c r="K113" i="1" s="1"/>
  <c r="J173" i="1"/>
  <c r="K173" i="1" s="1"/>
  <c r="L184" i="1"/>
  <c r="G15" i="3"/>
  <c r="E8" i="4"/>
  <c r="F8" i="4" s="1"/>
  <c r="G8" i="4" s="1"/>
  <c r="E10" i="4"/>
  <c r="F10" i="4" s="1"/>
  <c r="G10" i="4" s="1"/>
  <c r="E12" i="4"/>
  <c r="F12" i="4" s="1"/>
  <c r="G12" i="4" s="1"/>
  <c r="L24" i="1"/>
  <c r="L28" i="1"/>
  <c r="J48" i="1"/>
  <c r="K48" i="1" s="1"/>
  <c r="L50" i="1"/>
  <c r="J77" i="1"/>
  <c r="K77" i="1" s="1"/>
  <c r="L95" i="1"/>
  <c r="J121" i="1"/>
  <c r="K121" i="1" s="1"/>
  <c r="J125" i="1"/>
  <c r="K125" i="1" s="1"/>
  <c r="J129" i="1"/>
  <c r="K129" i="1" s="1"/>
  <c r="J146" i="1"/>
  <c r="K146" i="1" s="1"/>
  <c r="L147" i="1"/>
  <c r="L151" i="1"/>
  <c r="E6" i="4"/>
  <c r="F6" i="4" s="1"/>
  <c r="G6" i="4" s="1"/>
  <c r="L70" i="1"/>
  <c r="L74" i="1"/>
  <c r="J159" i="1"/>
  <c r="K159" i="1" s="1"/>
  <c r="J181" i="1"/>
  <c r="K181" i="1" s="1"/>
  <c r="F18" i="3"/>
  <c r="G17" i="3"/>
  <c r="B14" i="4"/>
  <c r="B15" i="4" s="1"/>
  <c r="B16" i="4" s="1"/>
  <c r="B17" i="4" s="1"/>
  <c r="B18" i="4" s="1"/>
  <c r="L25" i="1"/>
  <c r="J51" i="1"/>
  <c r="K51" i="1" s="1"/>
  <c r="L197" i="1"/>
  <c r="L201" i="1"/>
  <c r="G14" i="3"/>
  <c r="E7" i="4"/>
  <c r="F7" i="4" s="1"/>
  <c r="G7" i="4" s="1"/>
  <c r="E9" i="4"/>
  <c r="F9" i="4" s="1"/>
  <c r="G9" i="4" s="1"/>
  <c r="L20" i="1"/>
  <c r="D18" i="3"/>
  <c r="G16" i="3"/>
  <c r="J86" i="1"/>
  <c r="K86" i="1" s="1"/>
  <c r="G13" i="3"/>
  <c r="E18" i="3"/>
  <c r="B18" i="3"/>
  <c r="J177" i="1"/>
  <c r="K177" i="1" s="1"/>
  <c r="J186" i="1"/>
  <c r="K186" i="1" s="1"/>
  <c r="C36" i="2"/>
  <c r="C23" i="3"/>
  <c r="J63" i="1"/>
  <c r="K63" i="1" s="1"/>
  <c r="J70" i="1"/>
  <c r="K70" i="1" s="1"/>
  <c r="J81" i="1"/>
  <c r="K81" i="1" s="1"/>
  <c r="J115" i="1"/>
  <c r="K115" i="1" s="1"/>
  <c r="E36" i="2"/>
  <c r="B36" i="2"/>
  <c r="J24" i="1"/>
  <c r="K24" i="1" s="1"/>
  <c r="E23" i="3"/>
  <c r="L13" i="1"/>
  <c r="J18" i="1"/>
  <c r="K18" i="1" s="1"/>
  <c r="L23" i="1"/>
  <c r="J44" i="1"/>
  <c r="K44" i="1" s="1"/>
  <c r="L52" i="1"/>
  <c r="L72" i="1"/>
  <c r="J103" i="1"/>
  <c r="K103" i="1" s="1"/>
  <c r="J110" i="1"/>
  <c r="K110" i="1" s="1"/>
  <c r="J127" i="1"/>
  <c r="K127" i="1" s="1"/>
  <c r="J137" i="1"/>
  <c r="K137" i="1" s="1"/>
  <c r="L141" i="1"/>
  <c r="L183" i="1"/>
  <c r="J185" i="1"/>
  <c r="K185" i="1" s="1"/>
  <c r="J194" i="1"/>
  <c r="K194" i="1" s="1"/>
  <c r="F23" i="3"/>
  <c r="J3" i="1"/>
  <c r="K3" i="1" s="1"/>
  <c r="L17" i="1"/>
  <c r="J31" i="1"/>
  <c r="K31" i="1" s="1"/>
  <c r="L45" i="1"/>
  <c r="J74" i="1"/>
  <c r="K74" i="1" s="1"/>
  <c r="L96" i="1"/>
  <c r="L131" i="1"/>
  <c r="J165" i="1"/>
  <c r="K165" i="1" s="1"/>
  <c r="L175" i="1"/>
  <c r="L179" i="1"/>
  <c r="L36" i="1"/>
  <c r="J56" i="1"/>
  <c r="K56" i="1" s="1"/>
  <c r="L76" i="1"/>
  <c r="L93" i="1"/>
  <c r="J100" i="1"/>
  <c r="K100" i="1" s="1"/>
  <c r="B24" i="3"/>
  <c r="L4" i="1"/>
  <c r="L104" i="1"/>
  <c r="L173" i="1"/>
  <c r="L189" i="1"/>
  <c r="L193" i="1"/>
  <c r="J50" i="1"/>
  <c r="K50" i="1" s="1"/>
  <c r="L127" i="1"/>
  <c r="L2" i="1"/>
  <c r="J28" i="1"/>
  <c r="K28" i="1" s="1"/>
  <c r="L49" i="1"/>
  <c r="L62" i="1"/>
  <c r="L99" i="1"/>
  <c r="J109" i="1"/>
  <c r="K109" i="1" s="1"/>
  <c r="L115" i="1"/>
  <c r="J138" i="1"/>
  <c r="K138" i="1" s="1"/>
  <c r="L139" i="1"/>
  <c r="L145" i="1"/>
  <c r="J154" i="1"/>
  <c r="K154" i="1" s="1"/>
  <c r="L155" i="1"/>
  <c r="L161" i="1"/>
  <c r="J8" i="1"/>
  <c r="K8" i="1" s="1"/>
  <c r="J16" i="1"/>
  <c r="K16" i="1" s="1"/>
  <c r="J23" i="1"/>
  <c r="K23" i="1" s="1"/>
  <c r="J40" i="1"/>
  <c r="K40" i="1" s="1"/>
  <c r="L57" i="1"/>
  <c r="L125" i="1"/>
  <c r="L133" i="1"/>
  <c r="J170" i="1"/>
  <c r="K170" i="1" s="1"/>
  <c r="J193" i="1"/>
  <c r="K193" i="1" s="1"/>
  <c r="L6" i="1"/>
  <c r="L15" i="1"/>
  <c r="L21" i="1"/>
  <c r="L32" i="1"/>
  <c r="L66" i="1"/>
  <c r="L75" i="1"/>
  <c r="L137" i="1"/>
  <c r="L153" i="1"/>
  <c r="L192" i="1"/>
  <c r="L195" i="1"/>
  <c r="L53" i="1"/>
  <c r="J55" i="1"/>
  <c r="K55" i="1" s="1"/>
  <c r="J60" i="1"/>
  <c r="K60" i="1" s="1"/>
  <c r="L73" i="1"/>
  <c r="L91" i="1"/>
  <c r="J106" i="1"/>
  <c r="K106" i="1" s="1"/>
  <c r="J123" i="1"/>
  <c r="K123" i="1" s="1"/>
  <c r="J131" i="1"/>
  <c r="K131" i="1" s="1"/>
  <c r="J147" i="1"/>
  <c r="K147" i="1" s="1"/>
  <c r="L181" i="1"/>
  <c r="J189" i="1"/>
  <c r="K189" i="1" s="1"/>
  <c r="L191" i="1"/>
  <c r="J199" i="1"/>
  <c r="K199" i="1" s="1"/>
  <c r="J10" i="1"/>
  <c r="K10" i="1" s="1"/>
  <c r="J12" i="1"/>
  <c r="K12" i="1" s="1"/>
  <c r="J67" i="1"/>
  <c r="K67" i="1" s="1"/>
  <c r="J79" i="1"/>
  <c r="K79" i="1" s="1"/>
  <c r="J82" i="1"/>
  <c r="K82" i="1" s="1"/>
  <c r="J19" i="1"/>
  <c r="K19" i="1" s="1"/>
  <c r="L30" i="1"/>
  <c r="J42" i="1"/>
  <c r="K42" i="1" s="1"/>
  <c r="J83" i="1"/>
  <c r="K83" i="1" s="1"/>
  <c r="L86" i="1"/>
  <c r="J111" i="1"/>
  <c r="K111" i="1" s="1"/>
  <c r="J117" i="1"/>
  <c r="K117" i="1" s="1"/>
  <c r="L163" i="1"/>
  <c r="J169" i="1"/>
  <c r="J4" i="1"/>
  <c r="K4" i="1" s="1"/>
  <c r="J36" i="1"/>
  <c r="K36" i="1" s="1"/>
  <c r="J43" i="1"/>
  <c r="K43" i="1" s="1"/>
  <c r="J84" i="1"/>
  <c r="K84" i="1" s="1"/>
  <c r="J91" i="1"/>
  <c r="K91" i="1" s="1"/>
  <c r="J92" i="1"/>
  <c r="K92" i="1" s="1"/>
  <c r="L103" i="1"/>
  <c r="J122" i="1"/>
  <c r="K122" i="1" s="1"/>
  <c r="J130" i="1"/>
  <c r="K130" i="1" s="1"/>
  <c r="J151" i="1"/>
  <c r="K151" i="1" s="1"/>
  <c r="L176" i="1"/>
  <c r="J178" i="1"/>
  <c r="K178" i="1" s="1"/>
  <c r="L7" i="1"/>
  <c r="L9" i="1"/>
  <c r="L10" i="1"/>
  <c r="J15" i="1"/>
  <c r="K15" i="1" s="1"/>
  <c r="L22" i="1"/>
  <c r="L41" i="1"/>
  <c r="L42" i="1"/>
  <c r="J47" i="1"/>
  <c r="K47" i="1" s="1"/>
  <c r="L54" i="1"/>
  <c r="L83" i="1"/>
  <c r="L87" i="1"/>
  <c r="L117" i="1"/>
  <c r="L129" i="1"/>
  <c r="J135" i="1"/>
  <c r="K135" i="1" s="1"/>
  <c r="L165" i="1"/>
  <c r="L171" i="1"/>
  <c r="L185" i="1"/>
  <c r="J2" i="1"/>
  <c r="K2" i="1" s="1"/>
  <c r="L5" i="1"/>
  <c r="J34" i="1"/>
  <c r="K34" i="1" s="1"/>
  <c r="L37" i="1"/>
  <c r="J66" i="1"/>
  <c r="K66" i="1" s="1"/>
  <c r="L80" i="1"/>
  <c r="L94" i="1"/>
  <c r="L101" i="1"/>
  <c r="J105" i="1"/>
  <c r="K105" i="1" s="1"/>
  <c r="L110" i="1"/>
  <c r="L121" i="1"/>
  <c r="J157" i="1"/>
  <c r="K157" i="1" s="1"/>
  <c r="J161" i="1"/>
  <c r="K161" i="1" s="1"/>
  <c r="J163" i="1"/>
  <c r="K163" i="1" s="1"/>
  <c r="L177" i="1"/>
  <c r="J7" i="1"/>
  <c r="K7" i="1" s="1"/>
  <c r="L14" i="1"/>
  <c r="J32" i="1"/>
  <c r="K32" i="1" s="1"/>
  <c r="L33" i="1"/>
  <c r="J39" i="1"/>
  <c r="K39" i="1" s="1"/>
  <c r="L46" i="1"/>
  <c r="J64" i="1"/>
  <c r="K64" i="1" s="1"/>
  <c r="L65" i="1"/>
  <c r="J69" i="1"/>
  <c r="K69" i="1" s="1"/>
  <c r="J75" i="1"/>
  <c r="K75" i="1" s="1"/>
  <c r="J76" i="1"/>
  <c r="K76" i="1" s="1"/>
  <c r="L78" i="1"/>
  <c r="J90" i="1"/>
  <c r="K90" i="1" s="1"/>
  <c r="J107" i="1"/>
  <c r="K107" i="1" s="1"/>
  <c r="J114" i="1"/>
  <c r="K114" i="1" s="1"/>
  <c r="J141" i="1"/>
  <c r="K141" i="1" s="1"/>
  <c r="L159" i="1"/>
  <c r="J162" i="1"/>
  <c r="K162" i="1" s="1"/>
  <c r="L169" i="1"/>
  <c r="J175" i="1"/>
  <c r="K175" i="1" s="1"/>
  <c r="J196" i="1"/>
  <c r="K196" i="1" s="1"/>
  <c r="J197" i="1"/>
  <c r="K197" i="1" s="1"/>
  <c r="L199" i="1"/>
  <c r="L200" i="1"/>
  <c r="J201" i="1"/>
  <c r="K201" i="1" s="1"/>
  <c r="J20" i="1"/>
  <c r="K20" i="1" s="1"/>
  <c r="J26" i="1"/>
  <c r="K26" i="1" s="1"/>
  <c r="J27" i="1"/>
  <c r="K27" i="1" s="1"/>
  <c r="L29" i="1"/>
  <c r="J52" i="1"/>
  <c r="K52" i="1" s="1"/>
  <c r="J58" i="1"/>
  <c r="K58" i="1" s="1"/>
  <c r="J59" i="1"/>
  <c r="K59" i="1" s="1"/>
  <c r="L79" i="1"/>
  <c r="J87" i="1"/>
  <c r="K87" i="1" s="1"/>
  <c r="J98" i="1"/>
  <c r="K98" i="1" s="1"/>
  <c r="J119" i="1"/>
  <c r="K119" i="1" s="1"/>
  <c r="J139" i="1"/>
  <c r="K139" i="1" s="1"/>
  <c r="L143" i="1"/>
  <c r="J145" i="1"/>
  <c r="K145" i="1" s="1"/>
  <c r="J149" i="1"/>
  <c r="K149" i="1" s="1"/>
  <c r="J153" i="1"/>
  <c r="K153" i="1" s="1"/>
  <c r="J155" i="1"/>
  <c r="K155" i="1" s="1"/>
  <c r="J167" i="1"/>
  <c r="K167" i="1" s="1"/>
  <c r="J188" i="1"/>
  <c r="K188" i="1" s="1"/>
  <c r="J195" i="1"/>
  <c r="K195" i="1" s="1"/>
  <c r="L26" i="1"/>
  <c r="L58" i="1"/>
  <c r="J97" i="1"/>
  <c r="K97" i="1" s="1"/>
  <c r="L111" i="1"/>
  <c r="L149" i="1"/>
  <c r="J180" i="1"/>
  <c r="K180" i="1" s="1"/>
  <c r="M98" i="1"/>
  <c r="L98" i="1"/>
  <c r="M106" i="1"/>
  <c r="L106" i="1"/>
  <c r="L152" i="1"/>
  <c r="J152" i="1"/>
  <c r="K152" i="1" s="1"/>
  <c r="L3" i="1"/>
  <c r="J9" i="1"/>
  <c r="K9" i="1" s="1"/>
  <c r="L11" i="1"/>
  <c r="J17" i="1"/>
  <c r="K17" i="1" s="1"/>
  <c r="L19" i="1"/>
  <c r="J25" i="1"/>
  <c r="K25" i="1" s="1"/>
  <c r="L27" i="1"/>
  <c r="J33" i="1"/>
  <c r="K33" i="1" s="1"/>
  <c r="L35" i="1"/>
  <c r="J41" i="1"/>
  <c r="K41" i="1" s="1"/>
  <c r="L43" i="1"/>
  <c r="J49" i="1"/>
  <c r="K49" i="1" s="1"/>
  <c r="L51" i="1"/>
  <c r="J57" i="1"/>
  <c r="K57" i="1" s="1"/>
  <c r="L59" i="1"/>
  <c r="J65" i="1"/>
  <c r="K65" i="1" s="1"/>
  <c r="J78" i="1"/>
  <c r="K78" i="1" s="1"/>
  <c r="L84" i="1"/>
  <c r="J88" i="1"/>
  <c r="K88" i="1" s="1"/>
  <c r="J116" i="1"/>
  <c r="K116" i="1" s="1"/>
  <c r="L116" i="1"/>
  <c r="M146" i="1"/>
  <c r="L146" i="1"/>
  <c r="L158" i="1"/>
  <c r="J158" i="1"/>
  <c r="K158" i="1" s="1"/>
  <c r="M194" i="1"/>
  <c r="L194" i="1"/>
  <c r="J112" i="1"/>
  <c r="K112" i="1" s="1"/>
  <c r="M122" i="1"/>
  <c r="L122" i="1"/>
  <c r="L134" i="1"/>
  <c r="J134" i="1"/>
  <c r="K134" i="1" s="1"/>
  <c r="J156" i="1"/>
  <c r="K156" i="1" s="1"/>
  <c r="L156" i="1"/>
  <c r="L71" i="1"/>
  <c r="L118" i="1"/>
  <c r="J118" i="1"/>
  <c r="K118" i="1" s="1"/>
  <c r="L136" i="1"/>
  <c r="J136" i="1"/>
  <c r="K136" i="1" s="1"/>
  <c r="J140" i="1"/>
  <c r="K140" i="1" s="1"/>
  <c r="L140" i="1"/>
  <c r="M170" i="1"/>
  <c r="L170" i="1"/>
  <c r="M178" i="1"/>
  <c r="L178" i="1"/>
  <c r="M186" i="1"/>
  <c r="L186" i="1"/>
  <c r="L81" i="1"/>
  <c r="J96" i="1"/>
  <c r="K96" i="1" s="1"/>
  <c r="K101" i="1"/>
  <c r="J104" i="1"/>
  <c r="K104" i="1" s="1"/>
  <c r="M130" i="1"/>
  <c r="L130" i="1"/>
  <c r="L142" i="1"/>
  <c r="J142" i="1"/>
  <c r="K142" i="1" s="1"/>
  <c r="L160" i="1"/>
  <c r="J160" i="1"/>
  <c r="K160" i="1" s="1"/>
  <c r="J164" i="1"/>
  <c r="K164" i="1" s="1"/>
  <c r="L164" i="1"/>
  <c r="J6" i="1"/>
  <c r="K6" i="1" s="1"/>
  <c r="J14" i="1"/>
  <c r="K14" i="1" s="1"/>
  <c r="J22" i="1"/>
  <c r="K22" i="1" s="1"/>
  <c r="J30" i="1"/>
  <c r="K30" i="1" s="1"/>
  <c r="J38" i="1"/>
  <c r="K38" i="1" s="1"/>
  <c r="J46" i="1"/>
  <c r="K46" i="1" s="1"/>
  <c r="J54" i="1"/>
  <c r="K54" i="1" s="1"/>
  <c r="J62" i="1"/>
  <c r="K62" i="1" s="1"/>
  <c r="J68" i="1"/>
  <c r="K68" i="1" s="1"/>
  <c r="J73" i="1"/>
  <c r="K73" i="1" s="1"/>
  <c r="L77" i="1"/>
  <c r="M82" i="1"/>
  <c r="L82" i="1"/>
  <c r="L100" i="1"/>
  <c r="J108" i="1"/>
  <c r="K108" i="1" s="1"/>
  <c r="L108" i="1"/>
  <c r="L113" i="1"/>
  <c r="L120" i="1"/>
  <c r="J120" i="1"/>
  <c r="K120" i="1" s="1"/>
  <c r="J124" i="1"/>
  <c r="K124" i="1" s="1"/>
  <c r="L124" i="1"/>
  <c r="M154" i="1"/>
  <c r="L154" i="1"/>
  <c r="L166" i="1"/>
  <c r="J166" i="1"/>
  <c r="K166" i="1" s="1"/>
  <c r="J5" i="1"/>
  <c r="K5" i="1" s="1"/>
  <c r="J13" i="1"/>
  <c r="K13" i="1" s="1"/>
  <c r="J21" i="1"/>
  <c r="K21" i="1" s="1"/>
  <c r="J29" i="1"/>
  <c r="K29" i="1" s="1"/>
  <c r="L31" i="1"/>
  <c r="J37" i="1"/>
  <c r="K37" i="1" s="1"/>
  <c r="L39" i="1"/>
  <c r="J45" i="1"/>
  <c r="K45" i="1" s="1"/>
  <c r="L47" i="1"/>
  <c r="J53" i="1"/>
  <c r="K53" i="1" s="1"/>
  <c r="L55" i="1"/>
  <c r="J61" i="1"/>
  <c r="K61" i="1" s="1"/>
  <c r="L63" i="1"/>
  <c r="L69" i="1"/>
  <c r="J85" i="1"/>
  <c r="K85" i="1" s="1"/>
  <c r="L89" i="1"/>
  <c r="K89" i="1"/>
  <c r="J94" i="1"/>
  <c r="K94" i="1" s="1"/>
  <c r="J102" i="1"/>
  <c r="K102" i="1" s="1"/>
  <c r="L112" i="1"/>
  <c r="M114" i="1"/>
  <c r="L114" i="1"/>
  <c r="L126" i="1"/>
  <c r="J126" i="1"/>
  <c r="K126" i="1" s="1"/>
  <c r="L144" i="1"/>
  <c r="J144" i="1"/>
  <c r="K144" i="1" s="1"/>
  <c r="J148" i="1"/>
  <c r="K148" i="1" s="1"/>
  <c r="L148" i="1"/>
  <c r="L198" i="1"/>
  <c r="J198" i="1"/>
  <c r="K198" i="1" s="1"/>
  <c r="L85" i="1"/>
  <c r="L88" i="1"/>
  <c r="M90" i="1"/>
  <c r="L90" i="1"/>
  <c r="J95" i="1"/>
  <c r="K95" i="1" s="1"/>
  <c r="L109" i="1"/>
  <c r="M138" i="1"/>
  <c r="L138" i="1"/>
  <c r="L150" i="1"/>
  <c r="J150" i="1"/>
  <c r="K150" i="1" s="1"/>
  <c r="L168" i="1"/>
  <c r="J168" i="1"/>
  <c r="K168" i="1" s="1"/>
  <c r="J172" i="1"/>
  <c r="K172" i="1" s="1"/>
  <c r="L172" i="1"/>
  <c r="L190" i="1"/>
  <c r="J190" i="1"/>
  <c r="K190" i="1" s="1"/>
  <c r="J72" i="1"/>
  <c r="K72" i="1" s="1"/>
  <c r="J80" i="1"/>
  <c r="K80" i="1" s="1"/>
  <c r="J93" i="1"/>
  <c r="K93" i="1" s="1"/>
  <c r="L97" i="1"/>
  <c r="L105" i="1"/>
  <c r="L128" i="1"/>
  <c r="J128" i="1"/>
  <c r="K128" i="1" s="1"/>
  <c r="J132" i="1"/>
  <c r="K132" i="1" s="1"/>
  <c r="L132" i="1"/>
  <c r="M162" i="1"/>
  <c r="L162" i="1"/>
  <c r="L174" i="1"/>
  <c r="J174" i="1"/>
  <c r="K174" i="1" s="1"/>
  <c r="L182" i="1"/>
  <c r="J182" i="1"/>
  <c r="K182" i="1" s="1"/>
  <c r="L180" i="1"/>
  <c r="L188" i="1"/>
  <c r="L196" i="1"/>
  <c r="K169" i="1"/>
  <c r="J176" i="1"/>
  <c r="K176" i="1" s="1"/>
  <c r="J184" i="1"/>
  <c r="K184" i="1" s="1"/>
  <c r="J192" i="1"/>
  <c r="K192" i="1" s="1"/>
  <c r="J200" i="1"/>
  <c r="K200" i="1" s="1"/>
  <c r="C4" i="3" l="1"/>
  <c r="C8" i="3"/>
  <c r="C5" i="3"/>
  <c r="C6" i="3"/>
  <c r="G5" i="3"/>
  <c r="G8" i="3"/>
  <c r="G4" i="3"/>
  <c r="G7" i="3"/>
  <c r="B8" i="7"/>
  <c r="A24" i="6"/>
  <c r="C23" i="6"/>
  <c r="B23" i="6"/>
  <c r="C14" i="5"/>
  <c r="D14" i="5" s="1"/>
  <c r="E13" i="5" s="1"/>
  <c r="F13" i="5" s="1"/>
  <c r="D27" i="2"/>
  <c r="F27" i="2" s="1"/>
  <c r="D19" i="2"/>
  <c r="F19" i="2" s="1"/>
  <c r="D15" i="2"/>
  <c r="F15" i="2" s="1"/>
  <c r="D24" i="2"/>
  <c r="F24" i="2" s="1"/>
  <c r="G18" i="3"/>
  <c r="B19" i="3" s="1"/>
  <c r="D31" i="2"/>
  <c r="F31" i="2" s="1"/>
  <c r="D30" i="2"/>
  <c r="F30" i="2" s="1"/>
  <c r="D7" i="2"/>
  <c r="F7" i="2" s="1"/>
  <c r="D16" i="2"/>
  <c r="F16" i="2" s="1"/>
  <c r="D22" i="2"/>
  <c r="F22" i="2" s="1"/>
  <c r="D29" i="2"/>
  <c r="F29" i="2" s="1"/>
  <c r="D25" i="2"/>
  <c r="F25" i="2" s="1"/>
  <c r="D6" i="2"/>
  <c r="F6" i="2" s="1"/>
  <c r="D17" i="2"/>
  <c r="F17" i="2" s="1"/>
  <c r="D21" i="2"/>
  <c r="F21" i="2" s="1"/>
  <c r="D13" i="2"/>
  <c r="F13" i="2" s="1"/>
  <c r="D28" i="2"/>
  <c r="F28" i="2" s="1"/>
  <c r="D18" i="2"/>
  <c r="F18" i="2" s="1"/>
  <c r="C24" i="3"/>
  <c r="A24" i="3"/>
  <c r="B25" i="3"/>
  <c r="F24" i="3"/>
  <c r="E24" i="3"/>
  <c r="D8" i="2"/>
  <c r="F8" i="2" s="1"/>
  <c r="D33" i="2"/>
  <c r="F33" i="2" s="1"/>
  <c r="D5" i="2"/>
  <c r="F5" i="2" s="1"/>
  <c r="D20" i="2"/>
  <c r="F20" i="2" s="1"/>
  <c r="D26" i="2"/>
  <c r="F26" i="2" s="1"/>
  <c r="D14" i="2"/>
  <c r="F14" i="2" s="1"/>
  <c r="D11" i="2"/>
  <c r="F11" i="2" s="1"/>
  <c r="D9" i="2"/>
  <c r="F9" i="2" s="1"/>
  <c r="D12" i="2"/>
  <c r="F12" i="2" s="1"/>
  <c r="D32" i="2"/>
  <c r="D10" i="2"/>
  <c r="C9" i="3" l="1"/>
  <c r="D23" i="2"/>
  <c r="F23" i="2" s="1"/>
  <c r="G9" i="3"/>
  <c r="B16" i="7"/>
  <c r="B24" i="6"/>
  <c r="A25" i="6"/>
  <c r="C24" i="6"/>
  <c r="D24" i="3"/>
  <c r="E25" i="3"/>
  <c r="C25" i="3"/>
  <c r="A25" i="3"/>
  <c r="B26" i="3"/>
  <c r="F25" i="3"/>
  <c r="D34" i="2"/>
  <c r="F10" i="2"/>
  <c r="F32" i="2"/>
  <c r="G10" i="2" l="1"/>
  <c r="H10" i="2" s="1"/>
  <c r="A26" i="6"/>
  <c r="C25" i="6"/>
  <c r="B25" i="6"/>
  <c r="G30" i="2"/>
  <c r="H30" i="2" s="1"/>
  <c r="G13" i="2"/>
  <c r="H13" i="2" s="1"/>
  <c r="G17" i="2"/>
  <c r="H17" i="2" s="1"/>
  <c r="G6" i="2"/>
  <c r="H6" i="2" s="1"/>
  <c r="G20" i="2"/>
  <c r="H20" i="2" s="1"/>
  <c r="F26" i="3"/>
  <c r="E26" i="3"/>
  <c r="C26" i="3"/>
  <c r="A26" i="3"/>
  <c r="B27" i="3"/>
  <c r="G25" i="2"/>
  <c r="H25" i="2" s="1"/>
  <c r="G5" i="2"/>
  <c r="H5" i="2" s="1"/>
  <c r="G19" i="2"/>
  <c r="H19" i="2" s="1"/>
  <c r="G21" i="2"/>
  <c r="H21" i="2" s="1"/>
  <c r="G11" i="2"/>
  <c r="H11" i="2" s="1"/>
  <c r="L15" i="2"/>
  <c r="K15" i="2" s="1"/>
  <c r="G24" i="2"/>
  <c r="H24" i="2" s="1"/>
  <c r="G31" i="2"/>
  <c r="H31" i="2" s="1"/>
  <c r="G29" i="2"/>
  <c r="H29" i="2" s="1"/>
  <c r="L10" i="2"/>
  <c r="M10" i="2" s="1"/>
  <c r="G16" i="2"/>
  <c r="H16" i="2" s="1"/>
  <c r="D25" i="3"/>
  <c r="G7" i="2"/>
  <c r="H7" i="2" s="1"/>
  <c r="G22" i="2"/>
  <c r="H22" i="2" s="1"/>
  <c r="G15" i="2"/>
  <c r="H15" i="2" s="1"/>
  <c r="G34" i="2"/>
  <c r="H34" i="2" s="1"/>
  <c r="F34" i="2"/>
  <c r="L8" i="2"/>
  <c r="L17" i="2"/>
  <c r="G8" i="2"/>
  <c r="H8" i="2" s="1"/>
  <c r="D36" i="2"/>
  <c r="L9" i="2"/>
  <c r="L16" i="2"/>
  <c r="L14" i="2"/>
  <c r="G27" i="2"/>
  <c r="H27" i="2" s="1"/>
  <c r="G18" i="2"/>
  <c r="H18" i="2" s="1"/>
  <c r="L11" i="2"/>
  <c r="G26" i="2"/>
  <c r="H26" i="2" s="1"/>
  <c r="G12" i="2"/>
  <c r="H12" i="2" s="1"/>
  <c r="L12" i="2"/>
  <c r="G32" i="2"/>
  <c r="H32" i="2" s="1"/>
  <c r="G28" i="2"/>
  <c r="H28" i="2" s="1"/>
  <c r="G23" i="2"/>
  <c r="H23" i="2" s="1"/>
  <c r="G14" i="2"/>
  <c r="H14" i="2" s="1"/>
  <c r="L13" i="2"/>
  <c r="G9" i="2"/>
  <c r="H9" i="2" s="1"/>
  <c r="G33" i="2"/>
  <c r="H33" i="2" s="1"/>
  <c r="F8" i="7" l="1"/>
  <c r="B26" i="6"/>
  <c r="A27" i="6"/>
  <c r="C26" i="6"/>
  <c r="M15" i="2"/>
  <c r="K10" i="2"/>
  <c r="D26" i="3"/>
  <c r="A27" i="3"/>
  <c r="B28" i="3"/>
  <c r="F27" i="3"/>
  <c r="E27" i="3"/>
  <c r="C27" i="3"/>
  <c r="D27" i="3" s="1"/>
  <c r="M11" i="2"/>
  <c r="K11" i="2"/>
  <c r="M17" i="2"/>
  <c r="K17" i="2"/>
  <c r="K13" i="2"/>
  <c r="M13" i="2"/>
  <c r="M12" i="2"/>
  <c r="K12" i="2"/>
  <c r="K8" i="2"/>
  <c r="M8" i="2"/>
  <c r="L18" i="2"/>
  <c r="K16" i="2"/>
  <c r="M16" i="2"/>
  <c r="M14" i="2"/>
  <c r="K14" i="2"/>
  <c r="K9" i="2"/>
  <c r="M9" i="2"/>
  <c r="A28" i="6" l="1"/>
  <c r="C27" i="6"/>
  <c r="B27" i="6"/>
  <c r="C28" i="3"/>
  <c r="D28" i="3" s="1"/>
  <c r="A28" i="3"/>
  <c r="B29" i="3"/>
  <c r="F28" i="3"/>
  <c r="E28" i="3"/>
  <c r="M18" i="2"/>
  <c r="B14" i="7" l="1"/>
  <c r="B28" i="6"/>
  <c r="A29" i="6"/>
  <c r="C28" i="6"/>
  <c r="E29" i="3"/>
  <c r="C29" i="3"/>
  <c r="D29" i="3" s="1"/>
  <c r="F29" i="3"/>
  <c r="A29" i="3"/>
  <c r="B30" i="3"/>
  <c r="C29" i="6" l="1"/>
  <c r="D28" i="6" s="1"/>
  <c r="B29" i="6"/>
  <c r="F30" i="3"/>
  <c r="E30" i="3"/>
  <c r="B31" i="3"/>
  <c r="C30" i="3"/>
  <c r="D30" i="3" s="1"/>
  <c r="A30" i="3"/>
  <c r="C30" i="6" l="1"/>
  <c r="C31" i="6" s="1"/>
  <c r="D25" i="6"/>
  <c r="D23" i="6"/>
  <c r="D26" i="6"/>
  <c r="D27" i="6"/>
  <c r="D24" i="6"/>
  <c r="D22" i="6"/>
  <c r="D29" i="6"/>
  <c r="A31" i="3"/>
  <c r="B32" i="3"/>
  <c r="F31" i="3"/>
  <c r="E31" i="3"/>
  <c r="C31" i="3"/>
  <c r="C32" i="3" l="1"/>
  <c r="D32" i="3" s="1"/>
  <c r="A32" i="3"/>
  <c r="B33" i="3"/>
  <c r="F32" i="3"/>
  <c r="E32" i="3"/>
  <c r="D31" i="3"/>
  <c r="E33" i="3" l="1"/>
  <c r="F33" i="3"/>
  <c r="C33" i="3"/>
  <c r="D33" i="3" s="1"/>
  <c r="A33" i="3"/>
  <c r="B34" i="3"/>
  <c r="B13" i="7" l="1"/>
  <c r="L8" i="7"/>
  <c r="F34" i="3"/>
  <c r="E34" i="3"/>
  <c r="C34" i="3"/>
  <c r="D34" i="3" s="1"/>
  <c r="A34" i="3"/>
  <c r="B35" i="3"/>
  <c r="A35" i="3" l="1"/>
  <c r="F35" i="3"/>
  <c r="F36" i="3" s="1"/>
  <c r="E35" i="3"/>
  <c r="E36" i="3" s="1"/>
  <c r="C35" i="3"/>
  <c r="C36" i="3" s="1"/>
  <c r="D35" i="3" l="1"/>
</calcChain>
</file>

<file path=xl/sharedStrings.xml><?xml version="1.0" encoding="utf-8"?>
<sst xmlns="http://schemas.openxmlformats.org/spreadsheetml/2006/main" count="199" uniqueCount="160">
  <si>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</si>
  <si>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</si>
  <si>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</si>
  <si>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</si>
  <si>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</si>
  <si>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</si>
  <si>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</si>
  <si>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</si>
  <si>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</si>
  <si>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Discount Amount</t>
  </si>
  <si>
    <t>Total Purchase</t>
  </si>
  <si>
    <t>Profit Margin</t>
  </si>
  <si>
    <t>Profit Status</t>
  </si>
  <si>
    <t>Order Month</t>
  </si>
  <si>
    <t>Timestamp</t>
  </si>
  <si>
    <t>Customer Analysis – Top 10 &amp; High-Value Customers</t>
  </si>
  <si>
    <t>Total Purchase = Sales after discount. Top 10 customers are highlighted green. Use the filter arrows on the table to filter (e.g. Customer Tier = High Value).</t>
  </si>
  <si>
    <t>Orders</t>
  </si>
  <si>
    <t>Total Sales</t>
  </si>
  <si>
    <t>Total Profit</t>
  </si>
  <si>
    <t>Avg Purchase / Order</t>
  </si>
  <si>
    <t>Rank</t>
  </si>
  <si>
    <t>Customer Tier</t>
  </si>
  <si>
    <t>Top N customers flagged "High Value"</t>
  </si>
  <si>
    <t>CUST001</t>
  </si>
  <si>
    <t>Edit the yellow cell to change the cut-off (leaderboard below always shows Top 10).</t>
  </si>
  <si>
    <t>CUST002</t>
  </si>
  <si>
    <t>CUST003</t>
  </si>
  <si>
    <t>% of All Purchases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</si>
  <si>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</si>
  <si>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</si>
  <si>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</si>
  <si>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</si>
  <si>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</si>
  <si>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</si>
  <si>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</si>
  <si>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</si>
  <si>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</si>
  <si>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</si>
  <si>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</si>
  <si>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Top 10 total</t>
  </si>
  <si>
    <t>CUST015</t>
  </si>
  <si>
    <t>CUST016</t>
  </si>
  <si>
    <t>Leaderboard uses LARGE() + INDEX() + MATCH() on the Total Purchase column.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</si>
  <si>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</si>
  <si>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</si>
  <si>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</si>
  <si>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</si>
  <si>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</si>
  <si>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</si>
  <si>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</si>
  <si>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</si>
  <si>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</si>
  <si>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</si>
  <si>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</si>
  <si>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</si>
  <si>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</si>
  <si>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</si>
  <si>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Total</t>
  </si>
  <si>
    <t>Pivot-Style Summary (formula driven)</t>
  </si>
  <si>
    <t>Built with SUMIFS so every table updates automatically when the Dataset changes.</t>
  </si>
  <si>
    <t>% of Sales</t>
  </si>
  <si>
    <t>Product Category</t>
  </si>
  <si>
    <t>Central</t>
  </si>
  <si>
    <t>Books</t>
  </si>
  <si>
    <t>East</t>
  </si>
  <si>
    <t>Clothing</t>
  </si>
  <si>
    <t>North</t>
  </si>
  <si>
    <t>Electronics</t>
  </si>
  <si>
    <t>South</t>
  </si>
  <si>
    <t>Furniture</t>
  </si>
  <si>
    <t>West</t>
  </si>
  <si>
    <t>Office Supplies</t>
  </si>
  <si>
    <t>Grand Total</t>
  </si>
  <si>
    <t>Total Sales by Region and Product Category</t>
  </si>
  <si>
    <t>Check (must be 0):</t>
  </si>
  <si>
    <t>Monthly Sales Trend (▲ growth / ▼ decline vs previous month)</t>
  </si>
  <si>
    <t>Month</t>
  </si>
  <si>
    <t>Month Start</t>
  </si>
  <si>
    <t>Growth % (MoM)</t>
  </si>
  <si>
    <t>What-If Analysis – Impact of Discount on Total Profit</t>
  </si>
  <si>
    <t>Assumption: dataset Profit is after the current discount; quantity sold and costs stay the same, only the discount given changes. Edit the yellow cells.</t>
  </si>
  <si>
    <t>Input</t>
  </si>
  <si>
    <t>Sensitivity table – Total Profit at different discount rates</t>
  </si>
  <si>
    <t>Scenario discount rate (applied to every order)</t>
  </si>
  <si>
    <t>Discount Rate</t>
  </si>
  <si>
    <t>Change vs Current</t>
  </si>
  <si>
    <t>% Change</t>
  </si>
  <si>
    <t>Current position</t>
  </si>
  <si>
    <t>Discount amount given today</t>
  </si>
  <si>
    <t>Current weighted average discount</t>
  </si>
  <si>
    <t>Current Total Profit</t>
  </si>
  <si>
    <t>Scenario result</t>
  </si>
  <si>
    <t>Discount amount at scenario rate</t>
  </si>
  <si>
    <t>Change in discount cost</t>
  </si>
  <si>
    <t>Scenario Total Profit</t>
  </si>
  <si>
    <t>Change in Total Profit</t>
  </si>
  <si>
    <t>% change in Total Profit</t>
  </si>
  <si>
    <t>Linear Regression – Profit (Y) vs Sales (X)</t>
  </si>
  <si>
    <t>Same output as the Data Analysis ToolPak, built with live formulas so it updates with the data.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</si>
  <si>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</si>
  <si>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</si>
  <si>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</si>
  <si>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</si>
  <si>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</si>
  <si>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</si>
  <si>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</si>
  <si>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</si>
  <si>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</si>
  <si>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</si>
  <si>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</si>
  <si>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</si>
  <si>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</si>
  <si>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</si>
  <si>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</si>
  <si>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</si>
  <si>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</si>
  <si>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</si>
  <si>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</si>
  <si>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</si>
  <si>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Sales (X Variable)</t>
  </si>
  <si>
    <t>Regression equation</t>
  </si>
  <si>
    <t>Prediction</t>
  </si>
  <si>
    <t>Sales (enter a value)</t>
  </si>
  <si>
    <t>Predicted Profit</t>
  </si>
  <si>
    <t>Interpretation</t>
  </si>
  <si>
    <t>Descriptive Statistics &amp; Histogram</t>
  </si>
  <si>
    <t>Same measures as the ToolPak 'Descriptive Statistics' output, written as formulas.</t>
  </si>
  <si>
    <t>Statistic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</si>
  <si>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</si>
  <si>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</si>
  <si>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</si>
  <si>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</si>
  <si>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</si>
  <si>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</si>
  <si>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</si>
  <si>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</si>
  <si>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</si>
  <si>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</si>
  <si>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</si>
  <si>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</si>
  <si>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 (95.0%)</t>
  </si>
  <si>
    <t>Histogram – Sales</t>
  </si>
  <si>
    <t>Bin width (edit)</t>
  </si>
  <si>
    <t>Bin (upper limit)</t>
  </si>
  <si>
    <t>Sales Range</t>
  </si>
  <si>
    <t>Frequency</t>
  </si>
  <si>
    <t>Cumulative %</t>
  </si>
  <si>
    <t>Check: total frequency = count of orders?</t>
  </si>
  <si>
    <t>SALES DASHBOARD</t>
  </si>
  <si>
    <t>Total Orders</t>
  </si>
  <si>
    <t>Avg Order Value</t>
  </si>
  <si>
    <t>Highest Sale</t>
  </si>
  <si>
    <t>Discount Given</t>
  </si>
  <si>
    <t>Avg Discount</t>
  </si>
  <si>
    <t>Top Customer</t>
  </si>
  <si>
    <t>Best Region</t>
  </si>
  <si>
    <t>Best Category</t>
  </si>
  <si>
    <t>Best Month</t>
  </si>
  <si>
    <t>Key Insights (data storytelling – updates automatically)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</si>
</sst>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-mmm\-yyyy"/>
    <numFmt numFmtId="165" formatCode="0.0%"/>
    <numFmt numFmtId="166" formatCode="mmm\-yyyy"/>
    <numFmt numFmtId="167" formatCode="dd\-mmm\-yyyy\ hh:mm:ss"/>
    <numFmt numFmtId="168" formatCode="\▲\ 0.0%;\▼\ 0.0%;0.0%"/>
    <numFmt numFmtId="169" formatCode="0.0%;[Red]\-0.0%"/>
    <numFmt numFmtId="170" formatCode="0.0000"/>
    <numFmt numFmtId="171" formatCode="#,##0.0000"/>
    <numFmt numFmtId="172" formatCode="0.000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6"/>
      <color rgb="FF1F3864"/>
      <name val="Arial"/>
    </font>
    <font>
      <i/>
      <sz val="9"/>
      <color rgb="FF595959"/>
      <name val="Arial"/>
    </font>
    <font>
      <b/>
      <sz val="10"/>
      <color rgb="FF000000"/>
      <name val="Arial"/>
    </font>
    <font>
      <b/>
      <sz val="10"/>
      <color rgb="FF0000FF"/>
      <name val="Arial"/>
    </font>
    <font>
      <b/>
      <sz val="11"/>
      <color rgb="FF1F3864"/>
      <name val="Arial"/>
    </font>
    <font>
      <sz val="10"/>
      <color rgb="FF7F7F7F"/>
      <name val="Arial"/>
    </font>
    <font>
      <b/>
      <sz val="11"/>
      <color rgb="FF000000"/>
      <name val="Arial"/>
    </font>
    <font>
      <b/>
      <sz val="9"/>
      <color rgb="FF000000"/>
      <name val="Arial"/>
    </font>
    <font>
      <b/>
      <sz val="22"/>
      <color rgb="FFFFFFFF"/>
      <name val="Arial"/>
    </font>
    <font>
      <i/>
      <sz val="10"/>
      <color rgb="FFDDEBF7"/>
      <name val="Arial"/>
    </font>
    <font>
      <b/>
      <sz val="9"/>
      <color rgb="FF595959"/>
      <name val="Arial"/>
    </font>
    <font>
      <b/>
      <sz val="12"/>
      <color rgb="FF1F3864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rgb="FF1F38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4" fontId="2" fillId="0" borderId="1" xfId="0" applyNumberFormat="1" applyFont="1" applyBorder="1"/>
    <xf numFmtId="1" fontId="2" fillId="0" borderId="1" xfId="0" applyNumberFormat="1" applyFont="1" applyBorder="1"/>
    <xf numFmtId="9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/>
    <xf numFmtId="0" fontId="5" fillId="4" borderId="1" xfId="0" applyFont="1" applyFill="1" applyBorder="1"/>
    <xf numFmtId="4" fontId="5" fillId="4" borderId="1" xfId="0" applyNumberFormat="1" applyFont="1" applyFill="1" applyBorder="1"/>
    <xf numFmtId="165" fontId="5" fillId="4" borderId="1" xfId="0" applyNumberFormat="1" applyFont="1" applyFill="1" applyBorder="1"/>
    <xf numFmtId="1" fontId="5" fillId="4" borderId="1" xfId="0" applyNumberFormat="1" applyFont="1" applyFill="1" applyBorder="1"/>
    <xf numFmtId="0" fontId="7" fillId="0" borderId="0" xfId="0" applyFont="1"/>
    <xf numFmtId="3" fontId="2" fillId="0" borderId="1" xfId="0" applyNumberFormat="1" applyFont="1" applyBorder="1"/>
    <xf numFmtId="166" fontId="8" fillId="0" borderId="1" xfId="0" applyNumberFormat="1" applyFont="1" applyBorder="1"/>
    <xf numFmtId="168" fontId="2" fillId="0" borderId="1" xfId="0" applyNumberFormat="1" applyFont="1" applyBorder="1" applyAlignment="1">
      <alignment horizontal="right"/>
    </xf>
    <xf numFmtId="165" fontId="6" fillId="3" borderId="1" xfId="0" applyNumberFormat="1" applyFont="1" applyFill="1" applyBorder="1"/>
    <xf numFmtId="40" fontId="2" fillId="0" borderId="1" xfId="0" applyNumberFormat="1" applyFont="1" applyBorder="1"/>
    <xf numFmtId="169" fontId="2" fillId="0" borderId="1" xfId="0" applyNumberFormat="1" applyFont="1" applyBorder="1"/>
    <xf numFmtId="10" fontId="2" fillId="0" borderId="1" xfId="0" applyNumberFormat="1" applyFont="1" applyBorder="1"/>
    <xf numFmtId="40" fontId="5" fillId="4" borderId="1" xfId="0" applyNumberFormat="1" applyFont="1" applyFill="1" applyBorder="1"/>
    <xf numFmtId="170" fontId="2" fillId="0" borderId="1" xfId="0" applyNumberFormat="1" applyFont="1" applyBorder="1"/>
    <xf numFmtId="171" fontId="2" fillId="0" borderId="1" xfId="0" applyNumberFormat="1" applyFont="1" applyBorder="1"/>
    <xf numFmtId="11" fontId="2" fillId="0" borderId="1" xfId="0" applyNumberFormat="1" applyFont="1" applyBorder="1"/>
    <xf numFmtId="0" fontId="9" fillId="0" borderId="0" xfId="0" applyFont="1"/>
    <xf numFmtId="0" fontId="2" fillId="0" borderId="0" xfId="0" applyFont="1"/>
    <xf numFmtId="4" fontId="6" fillId="3" borderId="1" xfId="0" applyNumberFormat="1" applyFont="1" applyFill="1" applyBorder="1"/>
    <xf numFmtId="4" fontId="5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/>
    <xf numFmtId="172" fontId="2" fillId="0" borderId="1" xfId="0" applyNumberFormat="1" applyFont="1" applyBorder="1"/>
    <xf numFmtId="0" fontId="10" fillId="0" borderId="0" xfId="0" applyFont="1"/>
    <xf numFmtId="0" fontId="11" fillId="2" borderId="0" xfId="0" applyFont="1" applyFill="1"/>
    <xf numFmtId="0" fontId="0" fillId="2" borderId="0" xfId="0" applyFill="1"/>
    <xf numFmtId="0" fontId="12" fillId="2" borderId="0" xfId="0" applyFont="1" applyFill="1"/>
    <xf numFmtId="0" fontId="13" fillId="4" borderId="2" xfId="0" applyFont="1" applyFill="1" applyBorder="1" applyAlignment="1">
      <alignment horizontal="center"/>
    </xf>
    <xf numFmtId="0" fontId="0" fillId="4" borderId="3" xfId="0" applyFill="1" applyBorder="1"/>
    <xf numFmtId="3" fontId="3" fillId="4" borderId="4" xfId="0" applyNumberFormat="1" applyFont="1" applyFill="1" applyBorder="1" applyAlignment="1">
      <alignment horizontal="center" vertical="center"/>
    </xf>
    <xf numFmtId="0" fontId="0" fillId="4" borderId="5" xfId="0" applyFill="1" applyBorder="1"/>
    <xf numFmtId="165" fontId="3" fillId="4" borderId="4" xfId="0" applyNumberFormat="1" applyFont="1" applyFill="1" applyBorder="1" applyAlignment="1">
      <alignment horizontal="center" vertical="center"/>
    </xf>
    <xf numFmtId="4" fontId="3" fillId="4" borderId="4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14" fillId="0" borderId="0" xfId="0" applyFont="1"/>
    <xf numFmtId="0" fontId="2" fillId="0" borderId="6" xfId="0" applyFont="1" applyBorder="1"/>
    <xf numFmtId="167" fontId="2" fillId="0" borderId="7" xfId="0" applyNumberFormat="1" applyFont="1" applyBorder="1"/>
    <xf numFmtId="0" fontId="2" fillId="0" borderId="3" xfId="0" applyFont="1" applyBorder="1"/>
    <xf numFmtId="0" fontId="2" fillId="0" borderId="9" xfId="0" applyFont="1" applyBorder="1"/>
    <xf numFmtId="4" fontId="2" fillId="0" borderId="9" xfId="0" applyNumberFormat="1" applyFont="1" applyBorder="1"/>
    <xf numFmtId="1" fontId="2" fillId="0" borderId="9" xfId="0" applyNumberFormat="1" applyFont="1" applyBorder="1"/>
    <xf numFmtId="9" fontId="2" fillId="0" borderId="9" xfId="0" applyNumberFormat="1" applyFont="1" applyBorder="1"/>
    <xf numFmtId="164" fontId="2" fillId="0" borderId="9" xfId="0" applyNumberFormat="1" applyFont="1" applyBorder="1"/>
    <xf numFmtId="165" fontId="2" fillId="0" borderId="9" xfId="0" applyNumberFormat="1" applyFont="1" applyBorder="1"/>
    <xf numFmtId="166" fontId="2" fillId="0" borderId="9" xfId="0" applyNumberFormat="1" applyFont="1" applyBorder="1"/>
    <xf numFmtId="167" fontId="2" fillId="0" borderId="2" xfId="0" applyNumberFormat="1" applyFont="1" applyBorder="1"/>
    <xf numFmtId="0" fontId="1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3" fontId="5" fillId="0" borderId="7" xfId="0" applyNumberFormat="1" applyFont="1" applyBorder="1"/>
    <xf numFmtId="0" fontId="5" fillId="4" borderId="3" xfId="0" applyFont="1" applyFill="1" applyBorder="1"/>
    <xf numFmtId="3" fontId="5" fillId="4" borderId="9" xfId="0" applyNumberFormat="1" applyFont="1" applyFill="1" applyBorder="1"/>
    <xf numFmtId="3" fontId="5" fillId="4" borderId="2" xfId="0" applyNumberFormat="1" applyFont="1" applyFill="1" applyBorder="1"/>
    <xf numFmtId="165" fontId="2" fillId="0" borderId="7" xfId="0" applyNumberFormat="1" applyFont="1" applyBorder="1"/>
    <xf numFmtId="4" fontId="5" fillId="4" borderId="9" xfId="0" applyNumberFormat="1" applyFont="1" applyFill="1" applyBorder="1"/>
    <xf numFmtId="165" fontId="5" fillId="4" borderId="2" xfId="0" applyNumberFormat="1" applyFont="1" applyFill="1" applyBorder="1"/>
    <xf numFmtId="4" fontId="2" fillId="0" borderId="7" xfId="0" applyNumberFormat="1" applyFont="1" applyBorder="1"/>
    <xf numFmtId="166" fontId="5" fillId="4" borderId="9" xfId="0" applyNumberFormat="1" applyFont="1" applyFill="1" applyBorder="1"/>
    <xf numFmtId="168" fontId="5" fillId="4" borderId="9" xfId="0" applyNumberFormat="1" applyFont="1" applyFill="1" applyBorder="1"/>
    <xf numFmtId="1" fontId="5" fillId="4" borderId="9" xfId="0" applyNumberFormat="1" applyFont="1" applyFill="1" applyBorder="1"/>
    <xf numFmtId="4" fontId="5" fillId="4" borderId="2" xfId="0" applyNumberFormat="1" applyFont="1" applyFill="1" applyBorder="1"/>
    <xf numFmtId="9" fontId="6" fillId="0" borderId="6" xfId="0" applyNumberFormat="1" applyFont="1" applyBorder="1"/>
    <xf numFmtId="169" fontId="2" fillId="0" borderId="7" xfId="0" applyNumberFormat="1" applyFont="1" applyBorder="1"/>
    <xf numFmtId="9" fontId="6" fillId="0" borderId="3" xfId="0" applyNumberFormat="1" applyFont="1" applyBorder="1"/>
    <xf numFmtId="40" fontId="2" fillId="0" borderId="9" xfId="0" applyNumberFormat="1" applyFont="1" applyBorder="1"/>
    <xf numFmtId="169" fontId="2" fillId="0" borderId="2" xfId="0" applyNumberFormat="1" applyFont="1" applyBorder="1"/>
    <xf numFmtId="0" fontId="3" fillId="7" borderId="0" xfId="0" applyFont="1" applyFill="1"/>
    <xf numFmtId="0" fontId="0" fillId="7" borderId="0" xfId="0" applyFill="1"/>
    <xf numFmtId="0" fontId="7" fillId="7" borderId="0" xfId="0" applyFont="1" applyFill="1"/>
    <xf numFmtId="172" fontId="2" fillId="0" borderId="7" xfId="0" applyNumberFormat="1" applyFont="1" applyBorder="1"/>
    <xf numFmtId="1" fontId="2" fillId="0" borderId="7" xfId="0" applyNumberFormat="1" applyFont="1" applyBorder="1"/>
    <xf numFmtId="4" fontId="2" fillId="0" borderId="2" xfId="0" applyNumberFormat="1" applyFont="1" applyBorder="1"/>
    <xf numFmtId="3" fontId="2" fillId="0" borderId="6" xfId="0" applyNumberFormat="1" applyFont="1" applyBorder="1"/>
    <xf numFmtId="3" fontId="5" fillId="4" borderId="3" xfId="0" applyNumberFormat="1" applyFont="1" applyFill="1" applyBorder="1"/>
    <xf numFmtId="0" fontId="5" fillId="4" borderId="9" xfId="0" applyFont="1" applyFill="1" applyBorder="1"/>
    <xf numFmtId="0" fontId="2" fillId="5" borderId="10" xfId="0" applyFont="1" applyFill="1" applyBorder="1" applyAlignment="1">
      <alignment vertical="center" wrapText="1"/>
    </xf>
    <xf numFmtId="0" fontId="0" fillId="5" borderId="10" xfId="0" applyFill="1" applyBorder="1"/>
  </cellXfs>
  <cellStyles count="1">
    <cellStyle name="Normal" xfId="0" builtinId="0"/>
  </cellStyles>
  <dxfs count="9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9" formatCode="0.0%;[Red]\-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8" formatCode="#,##0.00;[Red]\-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3" formatCode="0%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8" formatCode="\▲\ 0.0%;\▼\ 0.0%;0.0%"/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F7F7F"/>
        <name val="Arial"/>
        <scheme val="none"/>
      </font>
      <numFmt numFmtId="166" formatCode="mmm\-yyyy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color rgb="FFFF0000"/>
      </font>
    </dxf>
    <dxf>
      <font>
        <b/>
        <color rgb="FF00B050"/>
      </font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7" formatCode="dd\-mmm\-yyyy\ hh:mm:ss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mmm\-yyyy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dd\-mmm\-yyyy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'[1]Pivot Summary'!$B$3</c:f>
              <c:strCache>
                <c:ptCount val="1"/>
                <c:pt idx="0">
                  <c:v>Total 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gradFill flip="none"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gradFill flip="none"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gradFill flip="none" rotWithShape="1">
                <a:gsLst>
                  <a:gs pos="0">
                    <a:schemeClr val="accent4"/>
                  </a:gs>
                  <a:gs pos="75000">
                    <a:schemeClr val="accent4">
                      <a:lumMod val="60000"/>
                      <a:lumOff val="40000"/>
                    </a:schemeClr>
                  </a:gs>
                  <a:gs pos="51000">
                    <a:schemeClr val="accent4">
                      <a:alpha val="75000"/>
                    </a:schemeClr>
                  </a:gs>
                  <a:gs pos="100000">
                    <a:schemeClr val="accent4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gradFill flip="none" rotWithShape="1">
                <a:gsLst>
                  <a:gs pos="0">
                    <a:schemeClr val="accent5"/>
                  </a:gs>
                  <a:gs pos="75000">
                    <a:schemeClr val="accent5">
                      <a:lumMod val="60000"/>
                      <a:lumOff val="40000"/>
                    </a:schemeClr>
                  </a:gs>
                  <a:gs pos="51000">
                    <a:schemeClr val="accent5">
                      <a:alpha val="75000"/>
                    </a:schemeClr>
                  </a:gs>
                  <a:gs pos="100000">
                    <a:schemeClr val="accent5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'[1]Pivot Summary'!$A$4:$A$8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'[1]Pivot Summary'!$B$4:$B$8</c:f>
              <c:numCache>
                <c:formatCode>#,##0.00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C-40E3-B51A-12997BDDEC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1"/>
        </c:dLbls>
        <c:gapWidth val="355"/>
        <c:overlap val="-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Share by Product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'[1]Pivot Summary'!$F$3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'[1]Pivot Summary'!$E$4:$E$8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'[1]Pivot Summary'!$F$4:$F$8</c:f>
              <c:numCache>
                <c:formatCode>#,##0.00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7-4D09-803F-3C352A5DFB1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Monthly Sales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'[1]Pivot Summary'!$C$22</c:f>
              <c:strCache>
                <c:ptCount val="1"/>
                <c:pt idx="0">
                  <c:v>Total Sales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222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222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222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none"/>
            </c:marker>
            <c:bubble3D val="0"/>
            <c:spPr>
              <a:ln w="222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none"/>
            </c:marker>
            <c:bubble3D val="0"/>
            <c:spPr>
              <a:ln w="222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none"/>
            </c:marker>
            <c:bubble3D val="0"/>
            <c:spPr>
              <a:ln w="222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none"/>
            </c:marker>
            <c:bubble3D val="0"/>
            <c:spPr>
              <a:ln w="222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"/>
            <c:marker>
              <c:symbol val="none"/>
            </c:marker>
            <c:bubble3D val="0"/>
            <c:spPr>
              <a:ln w="222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'[1]Pivot Summary'!$A$23:$A$35</c:f>
              <c:strCache>
                <c:ptCount val="13"/>
                <c:pt idx="0">
                  <c:v>Apr 2024</c:v>
                </c:pt>
                <c:pt idx="1">
                  <c:v>May 2024</c:v>
                </c:pt>
                <c:pt idx="2">
                  <c:v>Jun 2024</c:v>
                </c:pt>
                <c:pt idx="3">
                  <c:v>Jul 2024</c:v>
                </c:pt>
                <c:pt idx="4">
                  <c:v>Aug 2024</c:v>
                </c:pt>
                <c:pt idx="5">
                  <c:v>Sep 2024</c:v>
                </c:pt>
                <c:pt idx="6">
                  <c:v>Oct 2024</c:v>
                </c:pt>
                <c:pt idx="7">
                  <c:v>Nov 2024</c:v>
                </c:pt>
                <c:pt idx="8">
                  <c:v>Dec 2024</c:v>
                </c:pt>
                <c:pt idx="9">
                  <c:v>Jan 2025</c:v>
                </c:pt>
                <c:pt idx="10">
                  <c:v>Feb 2025</c:v>
                </c:pt>
                <c:pt idx="11">
                  <c:v>Mar 2025</c:v>
                </c:pt>
                <c:pt idx="12">
                  <c:v>Apr 2025</c:v>
                </c:pt>
              </c:strCache>
            </c:strRef>
          </c:cat>
          <c:val>
            <c:numRef>
              <c:f>'[1]Pivot Summary'!$C$23:$C$35</c:f>
              <c:numCache>
                <c:formatCode>#,##0.00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A-47A9-AB2B-1102DB16B7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Profit vs Discount Rate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'[1]What-If'!$E$5</c:f>
              <c:strCache>
                <c:ptCount val="1"/>
                <c:pt idx="0">
                  <c:v>Total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'[1]What-If'!$D$6:$D$12</c:f>
              <c:numCache>
                <c:formatCode>0%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cat>
          <c:val>
            <c:numRef>
              <c:f>'[1]What-If'!$E$6:$E$12</c:f>
              <c:numCache>
                <c:formatCode>#,##0.00</c:formatCode>
                <c:ptCount val="7"/>
                <c:pt idx="0">
                  <c:v>87559.767500000016</c:v>
                </c:pt>
                <c:pt idx="1">
                  <c:v>77798.87950000001</c:v>
                </c:pt>
                <c:pt idx="2">
                  <c:v>68037.991500000018</c:v>
                </c:pt>
                <c:pt idx="3">
                  <c:v>58277.103500000027</c:v>
                </c:pt>
                <c:pt idx="4">
                  <c:v>48516.21550000002</c:v>
                </c:pt>
                <c:pt idx="5">
                  <c:v>38755.327500000029</c:v>
                </c:pt>
                <c:pt idx="6">
                  <c:v>28994.439500000037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5C-4C7B-A3BA-473238246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Discount 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Profit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Profit vs Sales (with trendline)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Orders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[1]Dataset!$E$2:$E$201</c:f>
              <c:numCache>
                <c:formatCode>General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xVal>
          <c:yVal>
            <c:numRef>
              <c:f>[1]Dataset!$I$2:$I$201</c:f>
              <c:numCache>
                <c:formatCode>General</c:formatCode>
                <c:ptCount val="200"/>
                <c:pt idx="0">
                  <c:v>331.55</c:v>
                </c:pt>
                <c:pt idx="1">
                  <c:v>440.51</c:v>
                </c:pt>
                <c:pt idx="2">
                  <c:v>285.33999999999997</c:v>
                </c:pt>
                <c:pt idx="3">
                  <c:v>161.69999999999999</c:v>
                </c:pt>
                <c:pt idx="4">
                  <c:v>271.04000000000002</c:v>
                </c:pt>
                <c:pt idx="5">
                  <c:v>304.18</c:v>
                </c:pt>
                <c:pt idx="6">
                  <c:v>312.91000000000003</c:v>
                </c:pt>
                <c:pt idx="7">
                  <c:v>300.85000000000002</c:v>
                </c:pt>
                <c:pt idx="8">
                  <c:v>190.59</c:v>
                </c:pt>
                <c:pt idx="9">
                  <c:v>350.22</c:v>
                </c:pt>
                <c:pt idx="10">
                  <c:v>672.38</c:v>
                </c:pt>
                <c:pt idx="11">
                  <c:v>456.66</c:v>
                </c:pt>
                <c:pt idx="12">
                  <c:v>452.8</c:v>
                </c:pt>
                <c:pt idx="13">
                  <c:v>273.41000000000003</c:v>
                </c:pt>
                <c:pt idx="14">
                  <c:v>155.19999999999999</c:v>
                </c:pt>
                <c:pt idx="15">
                  <c:v>300.58999999999997</c:v>
                </c:pt>
                <c:pt idx="16">
                  <c:v>298.38</c:v>
                </c:pt>
                <c:pt idx="17">
                  <c:v>203.74</c:v>
                </c:pt>
                <c:pt idx="18">
                  <c:v>481.96</c:v>
                </c:pt>
                <c:pt idx="19">
                  <c:v>161.26</c:v>
                </c:pt>
                <c:pt idx="20">
                  <c:v>476.65</c:v>
                </c:pt>
                <c:pt idx="21">
                  <c:v>82.57</c:v>
                </c:pt>
                <c:pt idx="22">
                  <c:v>297.27</c:v>
                </c:pt>
                <c:pt idx="23">
                  <c:v>176.59</c:v>
                </c:pt>
                <c:pt idx="24">
                  <c:v>374.75</c:v>
                </c:pt>
                <c:pt idx="25">
                  <c:v>293.27999999999997</c:v>
                </c:pt>
                <c:pt idx="26">
                  <c:v>236.44</c:v>
                </c:pt>
                <c:pt idx="27">
                  <c:v>356.85</c:v>
                </c:pt>
                <c:pt idx="28">
                  <c:v>398.25</c:v>
                </c:pt>
                <c:pt idx="29">
                  <c:v>160.24</c:v>
                </c:pt>
                <c:pt idx="30">
                  <c:v>326.41000000000003</c:v>
                </c:pt>
                <c:pt idx="31">
                  <c:v>388.82</c:v>
                </c:pt>
                <c:pt idx="32">
                  <c:v>253.98</c:v>
                </c:pt>
                <c:pt idx="33">
                  <c:v>217.78</c:v>
                </c:pt>
                <c:pt idx="34">
                  <c:v>513.38</c:v>
                </c:pt>
                <c:pt idx="35">
                  <c:v>151.16</c:v>
                </c:pt>
                <c:pt idx="36">
                  <c:v>359.49</c:v>
                </c:pt>
                <c:pt idx="37">
                  <c:v>468.84</c:v>
                </c:pt>
                <c:pt idx="38">
                  <c:v>229.99</c:v>
                </c:pt>
                <c:pt idx="39">
                  <c:v>197.35</c:v>
                </c:pt>
                <c:pt idx="40">
                  <c:v>414.44</c:v>
                </c:pt>
                <c:pt idx="41">
                  <c:v>369.35</c:v>
                </c:pt>
                <c:pt idx="42">
                  <c:v>212.83</c:v>
                </c:pt>
                <c:pt idx="43">
                  <c:v>302.70999999999998</c:v>
                </c:pt>
                <c:pt idx="44">
                  <c:v>365.11</c:v>
                </c:pt>
                <c:pt idx="45">
                  <c:v>214.18</c:v>
                </c:pt>
                <c:pt idx="46">
                  <c:v>468.72</c:v>
                </c:pt>
                <c:pt idx="47">
                  <c:v>450.71</c:v>
                </c:pt>
                <c:pt idx="48">
                  <c:v>332.32</c:v>
                </c:pt>
                <c:pt idx="49">
                  <c:v>174.48</c:v>
                </c:pt>
                <c:pt idx="50">
                  <c:v>242.6</c:v>
                </c:pt>
                <c:pt idx="51">
                  <c:v>551.98</c:v>
                </c:pt>
                <c:pt idx="52">
                  <c:v>380.43</c:v>
                </c:pt>
                <c:pt idx="53">
                  <c:v>339.44</c:v>
                </c:pt>
                <c:pt idx="54">
                  <c:v>173.99</c:v>
                </c:pt>
                <c:pt idx="55">
                  <c:v>257.33</c:v>
                </c:pt>
                <c:pt idx="56">
                  <c:v>389.3</c:v>
                </c:pt>
                <c:pt idx="57">
                  <c:v>148.32</c:v>
                </c:pt>
                <c:pt idx="58">
                  <c:v>449.58</c:v>
                </c:pt>
                <c:pt idx="59">
                  <c:v>680.18</c:v>
                </c:pt>
                <c:pt idx="60">
                  <c:v>497.99</c:v>
                </c:pt>
                <c:pt idx="61">
                  <c:v>220.05</c:v>
                </c:pt>
                <c:pt idx="62">
                  <c:v>294.12</c:v>
                </c:pt>
                <c:pt idx="63">
                  <c:v>201.11</c:v>
                </c:pt>
                <c:pt idx="64">
                  <c:v>261.27</c:v>
                </c:pt>
                <c:pt idx="65">
                  <c:v>307.82</c:v>
                </c:pt>
                <c:pt idx="66">
                  <c:v>333.05</c:v>
                </c:pt>
                <c:pt idx="67">
                  <c:v>455.97</c:v>
                </c:pt>
                <c:pt idx="68">
                  <c:v>242.31</c:v>
                </c:pt>
                <c:pt idx="69">
                  <c:v>344.06</c:v>
                </c:pt>
                <c:pt idx="70">
                  <c:v>144.56</c:v>
                </c:pt>
                <c:pt idx="71">
                  <c:v>441.54</c:v>
                </c:pt>
                <c:pt idx="72">
                  <c:v>114.7</c:v>
                </c:pt>
                <c:pt idx="73">
                  <c:v>257.42</c:v>
                </c:pt>
                <c:pt idx="74">
                  <c:v>305.32</c:v>
                </c:pt>
                <c:pt idx="75">
                  <c:v>258.24</c:v>
                </c:pt>
                <c:pt idx="76">
                  <c:v>441.47</c:v>
                </c:pt>
                <c:pt idx="77">
                  <c:v>172.26</c:v>
                </c:pt>
                <c:pt idx="78">
                  <c:v>500.1</c:v>
                </c:pt>
                <c:pt idx="79">
                  <c:v>581.16</c:v>
                </c:pt>
                <c:pt idx="80">
                  <c:v>271.88</c:v>
                </c:pt>
                <c:pt idx="81">
                  <c:v>400.29</c:v>
                </c:pt>
                <c:pt idx="82">
                  <c:v>177.77</c:v>
                </c:pt>
                <c:pt idx="83">
                  <c:v>406.86</c:v>
                </c:pt>
                <c:pt idx="84">
                  <c:v>526</c:v>
                </c:pt>
                <c:pt idx="85">
                  <c:v>333.97</c:v>
                </c:pt>
                <c:pt idx="86">
                  <c:v>305.8</c:v>
                </c:pt>
                <c:pt idx="87">
                  <c:v>649.79</c:v>
                </c:pt>
                <c:pt idx="88">
                  <c:v>441.53</c:v>
                </c:pt>
                <c:pt idx="89">
                  <c:v>480.51</c:v>
                </c:pt>
                <c:pt idx="90">
                  <c:v>346.99</c:v>
                </c:pt>
                <c:pt idx="91">
                  <c:v>229.23</c:v>
                </c:pt>
                <c:pt idx="92">
                  <c:v>334.84</c:v>
                </c:pt>
                <c:pt idx="93">
                  <c:v>231.79</c:v>
                </c:pt>
                <c:pt idx="94">
                  <c:v>328.54</c:v>
                </c:pt>
                <c:pt idx="95">
                  <c:v>366.99</c:v>
                </c:pt>
                <c:pt idx="96">
                  <c:v>348.96</c:v>
                </c:pt>
                <c:pt idx="97">
                  <c:v>542.62</c:v>
                </c:pt>
                <c:pt idx="98">
                  <c:v>297.69</c:v>
                </c:pt>
                <c:pt idx="99">
                  <c:v>451.1</c:v>
                </c:pt>
                <c:pt idx="100">
                  <c:v>210.95</c:v>
                </c:pt>
                <c:pt idx="101">
                  <c:v>445.59</c:v>
                </c:pt>
                <c:pt idx="102">
                  <c:v>202.82</c:v>
                </c:pt>
                <c:pt idx="103">
                  <c:v>231.32</c:v>
                </c:pt>
                <c:pt idx="104">
                  <c:v>450.29</c:v>
                </c:pt>
                <c:pt idx="105">
                  <c:v>307.72000000000003</c:v>
                </c:pt>
                <c:pt idx="106">
                  <c:v>367.59</c:v>
                </c:pt>
                <c:pt idx="107">
                  <c:v>769.46</c:v>
                </c:pt>
                <c:pt idx="108">
                  <c:v>327.92</c:v>
                </c:pt>
                <c:pt idx="109">
                  <c:v>553.29999999999995</c:v>
                </c:pt>
                <c:pt idx="110">
                  <c:v>352.86</c:v>
                </c:pt>
                <c:pt idx="111">
                  <c:v>313.91000000000003</c:v>
                </c:pt>
                <c:pt idx="112">
                  <c:v>355.1</c:v>
                </c:pt>
                <c:pt idx="113">
                  <c:v>192.76</c:v>
                </c:pt>
                <c:pt idx="114">
                  <c:v>264.44</c:v>
                </c:pt>
                <c:pt idx="115">
                  <c:v>172.21</c:v>
                </c:pt>
                <c:pt idx="116">
                  <c:v>474.66</c:v>
                </c:pt>
                <c:pt idx="117">
                  <c:v>433.58</c:v>
                </c:pt>
                <c:pt idx="118">
                  <c:v>343.6</c:v>
                </c:pt>
                <c:pt idx="119">
                  <c:v>318.3</c:v>
                </c:pt>
                <c:pt idx="120">
                  <c:v>358.41</c:v>
                </c:pt>
                <c:pt idx="121">
                  <c:v>581.5</c:v>
                </c:pt>
                <c:pt idx="122">
                  <c:v>410.9</c:v>
                </c:pt>
                <c:pt idx="123">
                  <c:v>179.51</c:v>
                </c:pt>
                <c:pt idx="124">
                  <c:v>511.14</c:v>
                </c:pt>
                <c:pt idx="125">
                  <c:v>150.18</c:v>
                </c:pt>
                <c:pt idx="126">
                  <c:v>352.65</c:v>
                </c:pt>
                <c:pt idx="127">
                  <c:v>472.62</c:v>
                </c:pt>
                <c:pt idx="128">
                  <c:v>195.33</c:v>
                </c:pt>
                <c:pt idx="129">
                  <c:v>64.63</c:v>
                </c:pt>
                <c:pt idx="130">
                  <c:v>461.12</c:v>
                </c:pt>
                <c:pt idx="131">
                  <c:v>437.11</c:v>
                </c:pt>
                <c:pt idx="132">
                  <c:v>268.97000000000003</c:v>
                </c:pt>
                <c:pt idx="133">
                  <c:v>265.26</c:v>
                </c:pt>
                <c:pt idx="134">
                  <c:v>178.91</c:v>
                </c:pt>
                <c:pt idx="135">
                  <c:v>356.5</c:v>
                </c:pt>
                <c:pt idx="136">
                  <c:v>229.65</c:v>
                </c:pt>
                <c:pt idx="137">
                  <c:v>121.54</c:v>
                </c:pt>
                <c:pt idx="138">
                  <c:v>268</c:v>
                </c:pt>
                <c:pt idx="139">
                  <c:v>426.16</c:v>
                </c:pt>
                <c:pt idx="140">
                  <c:v>316.32</c:v>
                </c:pt>
                <c:pt idx="141">
                  <c:v>492.5</c:v>
                </c:pt>
                <c:pt idx="142">
                  <c:v>232.33</c:v>
                </c:pt>
                <c:pt idx="143">
                  <c:v>165.97</c:v>
                </c:pt>
                <c:pt idx="144">
                  <c:v>675.5</c:v>
                </c:pt>
                <c:pt idx="145">
                  <c:v>134.66</c:v>
                </c:pt>
                <c:pt idx="146">
                  <c:v>487.36</c:v>
                </c:pt>
                <c:pt idx="147">
                  <c:v>314.74</c:v>
                </c:pt>
                <c:pt idx="148">
                  <c:v>111.39</c:v>
                </c:pt>
                <c:pt idx="149">
                  <c:v>318.47000000000003</c:v>
                </c:pt>
                <c:pt idx="150">
                  <c:v>301.75</c:v>
                </c:pt>
                <c:pt idx="151">
                  <c:v>413.36</c:v>
                </c:pt>
                <c:pt idx="152">
                  <c:v>286.68</c:v>
                </c:pt>
                <c:pt idx="153">
                  <c:v>556.30999999999995</c:v>
                </c:pt>
                <c:pt idx="154">
                  <c:v>332.19</c:v>
                </c:pt>
                <c:pt idx="155">
                  <c:v>336.24</c:v>
                </c:pt>
                <c:pt idx="156">
                  <c:v>180.39</c:v>
                </c:pt>
                <c:pt idx="157">
                  <c:v>484.35</c:v>
                </c:pt>
                <c:pt idx="158">
                  <c:v>562.82000000000005</c:v>
                </c:pt>
                <c:pt idx="159">
                  <c:v>447.34</c:v>
                </c:pt>
                <c:pt idx="160">
                  <c:v>649.04999999999995</c:v>
                </c:pt>
                <c:pt idx="161">
                  <c:v>205</c:v>
                </c:pt>
                <c:pt idx="162">
                  <c:v>263.32</c:v>
                </c:pt>
                <c:pt idx="163">
                  <c:v>443.99</c:v>
                </c:pt>
                <c:pt idx="164">
                  <c:v>395.31</c:v>
                </c:pt>
                <c:pt idx="165">
                  <c:v>335.04</c:v>
                </c:pt>
                <c:pt idx="166">
                  <c:v>333.85</c:v>
                </c:pt>
                <c:pt idx="167">
                  <c:v>531.05999999999995</c:v>
                </c:pt>
                <c:pt idx="168">
                  <c:v>232.19</c:v>
                </c:pt>
                <c:pt idx="169">
                  <c:v>223.04</c:v>
                </c:pt>
                <c:pt idx="170">
                  <c:v>422.92</c:v>
                </c:pt>
                <c:pt idx="171">
                  <c:v>257.45</c:v>
                </c:pt>
                <c:pt idx="172">
                  <c:v>380.75</c:v>
                </c:pt>
                <c:pt idx="173">
                  <c:v>225.37</c:v>
                </c:pt>
                <c:pt idx="174">
                  <c:v>582.55999999999995</c:v>
                </c:pt>
                <c:pt idx="175">
                  <c:v>344.91</c:v>
                </c:pt>
                <c:pt idx="176">
                  <c:v>330.79</c:v>
                </c:pt>
                <c:pt idx="177">
                  <c:v>460</c:v>
                </c:pt>
                <c:pt idx="178">
                  <c:v>439.88</c:v>
                </c:pt>
                <c:pt idx="179">
                  <c:v>255.79</c:v>
                </c:pt>
                <c:pt idx="180">
                  <c:v>159.74</c:v>
                </c:pt>
                <c:pt idx="181">
                  <c:v>404.39</c:v>
                </c:pt>
                <c:pt idx="182">
                  <c:v>187.57</c:v>
                </c:pt>
                <c:pt idx="183">
                  <c:v>410.87</c:v>
                </c:pt>
                <c:pt idx="184">
                  <c:v>275.77999999999997</c:v>
                </c:pt>
                <c:pt idx="185">
                  <c:v>746.74</c:v>
                </c:pt>
                <c:pt idx="186">
                  <c:v>310.24</c:v>
                </c:pt>
                <c:pt idx="187">
                  <c:v>341.12</c:v>
                </c:pt>
                <c:pt idx="188">
                  <c:v>91.71</c:v>
                </c:pt>
                <c:pt idx="189">
                  <c:v>331.59</c:v>
                </c:pt>
                <c:pt idx="190">
                  <c:v>381.07</c:v>
                </c:pt>
                <c:pt idx="191">
                  <c:v>255.24</c:v>
                </c:pt>
                <c:pt idx="192">
                  <c:v>692.05</c:v>
                </c:pt>
                <c:pt idx="193">
                  <c:v>344.41</c:v>
                </c:pt>
                <c:pt idx="194">
                  <c:v>397.06</c:v>
                </c:pt>
                <c:pt idx="195">
                  <c:v>586.14</c:v>
                </c:pt>
                <c:pt idx="196">
                  <c:v>333.36</c:v>
                </c:pt>
                <c:pt idx="197">
                  <c:v>245.45</c:v>
                </c:pt>
                <c:pt idx="198">
                  <c:v>379.09</c:v>
                </c:pt>
                <c:pt idx="199">
                  <c:v>440.95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23-47F2-BB04-2825F260D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Histogram – Sales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'[1]Descriptive Stats'!$C$21</c:f>
              <c:strCache>
                <c:ptCount val="1"/>
                <c:pt idx="0">
                  <c:v>Frequency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gradFill flip="none"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CB-4D1C-8DB2-C1E725EA0B07}"/>
              </c:ext>
            </c:extLst>
          </c:dPt>
          <c:dPt>
            <c:idx val="2"/>
            <c:invertIfNegative val="1"/>
            <c:bubble3D val="0"/>
            <c:spPr>
              <a:gradFill flip="none"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gradFill flip="none" rotWithShape="1">
                <a:gsLst>
                  <a:gs pos="0">
                    <a:schemeClr val="accent4"/>
                  </a:gs>
                  <a:gs pos="75000">
                    <a:schemeClr val="accent4">
                      <a:lumMod val="60000"/>
                      <a:lumOff val="40000"/>
                    </a:schemeClr>
                  </a:gs>
                  <a:gs pos="51000">
                    <a:schemeClr val="accent4">
                      <a:alpha val="75000"/>
                    </a:schemeClr>
                  </a:gs>
                  <a:gs pos="100000">
                    <a:schemeClr val="accent4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gradFill flip="none" rotWithShape="1">
                <a:gsLst>
                  <a:gs pos="0">
                    <a:schemeClr val="accent5"/>
                  </a:gs>
                  <a:gs pos="75000">
                    <a:schemeClr val="accent5">
                      <a:lumMod val="60000"/>
                      <a:lumOff val="40000"/>
                    </a:schemeClr>
                  </a:gs>
                  <a:gs pos="51000">
                    <a:schemeClr val="accent5">
                      <a:alpha val="75000"/>
                    </a:schemeClr>
                  </a:gs>
                  <a:gs pos="100000">
                    <a:schemeClr val="accent5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gradFill flip="none" rotWithShape="1">
                <a:gsLst>
                  <a:gs pos="0">
                    <a:schemeClr val="accent6"/>
                  </a:gs>
                  <a:gs pos="75000">
                    <a:schemeClr val="accent6">
                      <a:lumMod val="60000"/>
                      <a:lumOff val="40000"/>
                    </a:schemeClr>
                  </a:gs>
                  <a:gs pos="51000">
                    <a:schemeClr val="accent6">
                      <a:alpha val="75000"/>
                    </a:schemeClr>
                  </a:gs>
                  <a:gs pos="100000">
                    <a:schemeClr val="accent6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gradFill flip="none" rotWithShape="1">
                <a:gsLst>
                  <a:gs pos="0">
                    <a:schemeClr val="accent1">
                      <a:lumMod val="60000"/>
                    </a:schemeClr>
                  </a:gs>
                  <a:gs pos="75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51000">
                    <a:schemeClr val="accent1">
                      <a:lumMod val="60000"/>
                      <a:alpha val="75000"/>
                    </a:schemeClr>
                  </a:gs>
                  <a:gs pos="100000">
                    <a:schemeClr val="accent1">
                      <a:lumMod val="6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7"/>
            <c:invertIfNegative val="1"/>
            <c:bubble3D val="0"/>
            <c:spPr>
              <a:gradFill flip="none" rotWithShape="1">
                <a:gsLst>
                  <a:gs pos="0">
                    <a:schemeClr val="accent2">
                      <a:lumMod val="60000"/>
                    </a:schemeClr>
                  </a:gs>
                  <a:gs pos="75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51000">
                    <a:schemeClr val="accent2">
                      <a:lumMod val="60000"/>
                      <a:alpha val="75000"/>
                    </a:schemeClr>
                  </a:gs>
                  <a:gs pos="100000">
                    <a:schemeClr val="accent2">
                      <a:lumMod val="6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cat>
            <c:strRef>
              <c:f>'[1]Descriptive Stats'!$B$22:$B$29</c:f>
              <c:strCache>
                <c:ptCount val="8"/>
                <c:pt idx="0">
                  <c:v>0 – 250</c:v>
                </c:pt>
                <c:pt idx="1">
                  <c:v>250 – 500</c:v>
                </c:pt>
                <c:pt idx="2">
                  <c:v>500 – 750</c:v>
                </c:pt>
                <c:pt idx="3">
                  <c:v>750 – 1000</c:v>
                </c:pt>
                <c:pt idx="4">
                  <c:v>1000 – 1250</c:v>
                </c:pt>
                <c:pt idx="5">
                  <c:v>1250 – 1500</c:v>
                </c:pt>
                <c:pt idx="6">
                  <c:v>1500 – 1750</c:v>
                </c:pt>
                <c:pt idx="7">
                  <c:v>1750 – 2000</c:v>
                </c:pt>
              </c:strCache>
            </c:strRef>
          </c:cat>
          <c:val>
            <c:numRef>
              <c:f>'[1]Descriptive Stats'!$C$22:$C$29</c:f>
              <c:numCache>
                <c:formatCode>0</c:formatCode>
                <c:ptCount val="8"/>
                <c:pt idx="0">
                  <c:v>0</c:v>
                </c:pt>
                <c:pt idx="1">
                  <c:v>11</c:v>
                </c:pt>
                <c:pt idx="2">
                  <c:v>37</c:v>
                </c:pt>
                <c:pt idx="3">
                  <c:v>58</c:v>
                </c:pt>
                <c:pt idx="4">
                  <c:v>60</c:v>
                </c:pt>
                <c:pt idx="5">
                  <c:v>25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B-4D1C-8DB2-C1E725EA0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range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1C3C50-883A-433D-8F84-DEDC370FE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2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D43ACB-96B4-40B6-B5A3-2FD3FB607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33</xdr:row>
      <xdr:rowOff>0</xdr:rowOff>
    </xdr:from>
    <xdr:ext cx="1062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07683F-9EF6-4B2A-9E1C-581020E9F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072B1-C4C1-412E-A627-15B64BA54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B7D31-EED8-41EB-BF87-FADB2D427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81218-A97D-4B7D-8285-2BEF266AD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12c81b64dbd6b80/Desktop/pr2%20analyzer.xlsx" TargetMode="External"/><Relationship Id="rId1" Type="http://schemas.openxmlformats.org/officeDocument/2006/relationships/externalLinkPath" Target="pr2%20analyz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Instructions"/>
      <sheetName val="Dataset"/>
      <sheetName val="Dashboard"/>
      <sheetName val="Analysis"/>
      <sheetName val="Customers"/>
      <sheetName val="Pivot Summary"/>
      <sheetName val="What-If"/>
      <sheetName val="Regression"/>
      <sheetName val="Descriptive Stats"/>
    </sheetNames>
    <sheetDataSet>
      <sheetData sheetId="0"/>
      <sheetData sheetId="1">
        <row r="2">
          <cell r="A2" t="str">
            <v>CUST019</v>
          </cell>
          <cell r="B2" t="str">
            <v>James Davis</v>
          </cell>
          <cell r="C2" t="str">
            <v>West</v>
          </cell>
          <cell r="D2" t="str">
            <v>Books</v>
          </cell>
          <cell r="E2">
            <v>1036.0899999999999</v>
          </cell>
          <cell r="F2">
            <v>4</v>
          </cell>
          <cell r="G2">
            <v>0.2</v>
          </cell>
          <cell r="H2">
            <v>45392</v>
          </cell>
          <cell r="I2">
            <v>331.55</v>
          </cell>
        </row>
        <row r="3">
          <cell r="A3" t="str">
            <v>CUST012</v>
          </cell>
          <cell r="B3" t="str">
            <v>Robert Anderson</v>
          </cell>
          <cell r="C3" t="str">
            <v>West</v>
          </cell>
          <cell r="D3" t="str">
            <v>Clothing</v>
          </cell>
          <cell r="E3">
            <v>1101.28</v>
          </cell>
          <cell r="F3">
            <v>3</v>
          </cell>
          <cell r="G3">
            <v>0.2</v>
          </cell>
          <cell r="H3">
            <v>45393</v>
          </cell>
          <cell r="I3">
            <v>440.51</v>
          </cell>
        </row>
        <row r="4">
          <cell r="A4" t="str">
            <v>CUST017</v>
          </cell>
          <cell r="B4" t="str">
            <v>James Taylor</v>
          </cell>
          <cell r="C4" t="str">
            <v>East</v>
          </cell>
          <cell r="D4" t="str">
            <v>Books</v>
          </cell>
          <cell r="E4">
            <v>713.34</v>
          </cell>
          <cell r="F4">
            <v>17</v>
          </cell>
          <cell r="G4">
            <v>0</v>
          </cell>
          <cell r="H4">
            <v>45396</v>
          </cell>
          <cell r="I4">
            <v>285.33999999999997</v>
          </cell>
        </row>
        <row r="5">
          <cell r="A5" t="str">
            <v>CUST005</v>
          </cell>
          <cell r="B5" t="str">
            <v>Robert Anderson</v>
          </cell>
          <cell r="C5" t="str">
            <v>South</v>
          </cell>
          <cell r="D5" t="str">
            <v>Electronics</v>
          </cell>
          <cell r="E5">
            <v>760.93</v>
          </cell>
          <cell r="F5">
            <v>4</v>
          </cell>
          <cell r="G5">
            <v>0.15</v>
          </cell>
          <cell r="H5">
            <v>45396</v>
          </cell>
          <cell r="I5">
            <v>161.69999999999999</v>
          </cell>
        </row>
        <row r="6">
          <cell r="A6" t="str">
            <v>CUST030</v>
          </cell>
          <cell r="B6" t="str">
            <v>James Wilson</v>
          </cell>
          <cell r="C6" t="str">
            <v>North</v>
          </cell>
          <cell r="D6" t="str">
            <v>Books</v>
          </cell>
          <cell r="E6">
            <v>847</v>
          </cell>
          <cell r="F6">
            <v>12</v>
          </cell>
          <cell r="G6">
            <v>0.2</v>
          </cell>
          <cell r="H6">
            <v>45397</v>
          </cell>
          <cell r="I6">
            <v>271.04000000000002</v>
          </cell>
        </row>
        <row r="7">
          <cell r="A7" t="str">
            <v>CUST007</v>
          </cell>
          <cell r="B7" t="str">
            <v>Michael Anderson</v>
          </cell>
          <cell r="C7" t="str">
            <v>North</v>
          </cell>
          <cell r="D7" t="str">
            <v>Furniture</v>
          </cell>
          <cell r="E7">
            <v>965.64</v>
          </cell>
          <cell r="F7">
            <v>8</v>
          </cell>
          <cell r="G7">
            <v>0.1</v>
          </cell>
          <cell r="H7">
            <v>45398</v>
          </cell>
          <cell r="I7">
            <v>304.18</v>
          </cell>
        </row>
        <row r="8">
          <cell r="A8" t="str">
            <v>CUST001</v>
          </cell>
          <cell r="B8" t="str">
            <v>Linda Wilson</v>
          </cell>
          <cell r="C8" t="str">
            <v>West</v>
          </cell>
          <cell r="D8" t="str">
            <v>Electronics</v>
          </cell>
          <cell r="E8">
            <v>1317.53</v>
          </cell>
          <cell r="F8">
            <v>12</v>
          </cell>
          <cell r="G8">
            <v>0.05</v>
          </cell>
          <cell r="H8">
            <v>45398</v>
          </cell>
          <cell r="I8">
            <v>312.91000000000003</v>
          </cell>
        </row>
        <row r="9">
          <cell r="A9" t="str">
            <v>CUST026</v>
          </cell>
          <cell r="B9" t="str">
            <v>Mary Davis</v>
          </cell>
          <cell r="C9" t="str">
            <v>East</v>
          </cell>
          <cell r="D9" t="str">
            <v>Furniture</v>
          </cell>
          <cell r="E9">
            <v>1074.47</v>
          </cell>
          <cell r="F9">
            <v>6</v>
          </cell>
          <cell r="G9">
            <v>0.2</v>
          </cell>
          <cell r="H9">
            <v>45401</v>
          </cell>
          <cell r="I9">
            <v>300.85000000000002</v>
          </cell>
        </row>
        <row r="10">
          <cell r="A10" t="str">
            <v>CUST009</v>
          </cell>
          <cell r="B10" t="str">
            <v>Linda Jackson</v>
          </cell>
          <cell r="C10" t="str">
            <v>Central</v>
          </cell>
          <cell r="D10" t="str">
            <v>Books</v>
          </cell>
          <cell r="E10">
            <v>501.54</v>
          </cell>
          <cell r="F10">
            <v>11</v>
          </cell>
          <cell r="G10">
            <v>0.05</v>
          </cell>
          <cell r="H10">
            <v>45401</v>
          </cell>
          <cell r="I10">
            <v>190.59</v>
          </cell>
        </row>
        <row r="11">
          <cell r="A11" t="str">
            <v>CUST010</v>
          </cell>
          <cell r="B11" t="str">
            <v>David Thomas</v>
          </cell>
          <cell r="C11" t="str">
            <v>Central</v>
          </cell>
          <cell r="D11" t="str">
            <v>Clothing</v>
          </cell>
          <cell r="E11">
            <v>737.31</v>
          </cell>
          <cell r="F11">
            <v>2</v>
          </cell>
          <cell r="G11">
            <v>0.05</v>
          </cell>
          <cell r="H11">
            <v>45401</v>
          </cell>
          <cell r="I11">
            <v>350.22</v>
          </cell>
        </row>
        <row r="12">
          <cell r="A12" t="str">
            <v>CUST014</v>
          </cell>
          <cell r="B12" t="str">
            <v>Emma Davis</v>
          </cell>
          <cell r="C12" t="str">
            <v>West</v>
          </cell>
          <cell r="D12" t="str">
            <v>Office Supplies</v>
          </cell>
          <cell r="E12">
            <v>1572.82</v>
          </cell>
          <cell r="F12">
            <v>6</v>
          </cell>
          <cell r="G12">
            <v>0.05</v>
          </cell>
          <cell r="H12">
            <v>45402</v>
          </cell>
          <cell r="I12">
            <v>672.38</v>
          </cell>
        </row>
        <row r="13">
          <cell r="A13" t="str">
            <v>CUST014</v>
          </cell>
          <cell r="B13" t="str">
            <v>David Thomas</v>
          </cell>
          <cell r="C13" t="str">
            <v>Central</v>
          </cell>
          <cell r="D13" t="str">
            <v>Books</v>
          </cell>
          <cell r="E13">
            <v>1343.13</v>
          </cell>
          <cell r="F13">
            <v>14</v>
          </cell>
          <cell r="G13">
            <v>0.15</v>
          </cell>
          <cell r="H13">
            <v>45404</v>
          </cell>
          <cell r="I13">
            <v>456.66</v>
          </cell>
        </row>
        <row r="14">
          <cell r="A14" t="str">
            <v>CUST007</v>
          </cell>
          <cell r="B14" t="str">
            <v>Michael Anderson</v>
          </cell>
          <cell r="C14" t="str">
            <v>Central</v>
          </cell>
          <cell r="D14" t="str">
            <v>Books</v>
          </cell>
          <cell r="E14">
            <v>1191.58</v>
          </cell>
          <cell r="F14">
            <v>14</v>
          </cell>
          <cell r="G14">
            <v>0.05</v>
          </cell>
          <cell r="H14">
            <v>45406</v>
          </cell>
          <cell r="I14">
            <v>452.8</v>
          </cell>
        </row>
        <row r="15">
          <cell r="A15" t="str">
            <v>CUST023</v>
          </cell>
          <cell r="B15" t="str">
            <v>Robert Anderson</v>
          </cell>
          <cell r="C15" t="str">
            <v>West</v>
          </cell>
          <cell r="D15" t="str">
            <v>Furniture</v>
          </cell>
          <cell r="E15">
            <v>822.28</v>
          </cell>
          <cell r="F15">
            <v>7</v>
          </cell>
          <cell r="G15">
            <v>0.05</v>
          </cell>
          <cell r="H15">
            <v>45406</v>
          </cell>
          <cell r="I15">
            <v>273.41000000000003</v>
          </cell>
        </row>
        <row r="16">
          <cell r="A16" t="str">
            <v>CUST029</v>
          </cell>
          <cell r="B16" t="str">
            <v>David Smith</v>
          </cell>
          <cell r="C16" t="str">
            <v>North</v>
          </cell>
          <cell r="D16" t="str">
            <v>Furniture</v>
          </cell>
          <cell r="E16">
            <v>521.66999999999996</v>
          </cell>
          <cell r="F16">
            <v>15</v>
          </cell>
          <cell r="G16">
            <v>0.15</v>
          </cell>
          <cell r="H16">
            <v>45409</v>
          </cell>
          <cell r="I16">
            <v>155.19999999999999</v>
          </cell>
        </row>
        <row r="17">
          <cell r="A17" t="str">
            <v>CUST005</v>
          </cell>
          <cell r="B17" t="str">
            <v>Sarah Anderson</v>
          </cell>
          <cell r="C17" t="str">
            <v>South</v>
          </cell>
          <cell r="D17" t="str">
            <v>Electronics</v>
          </cell>
          <cell r="E17">
            <v>1502.93</v>
          </cell>
          <cell r="F17">
            <v>14</v>
          </cell>
          <cell r="G17">
            <v>0.2</v>
          </cell>
          <cell r="H17">
            <v>45410</v>
          </cell>
          <cell r="I17">
            <v>300.58999999999997</v>
          </cell>
        </row>
        <row r="18">
          <cell r="A18" t="str">
            <v>CUST008</v>
          </cell>
          <cell r="B18" t="str">
            <v>Robert Anderson</v>
          </cell>
          <cell r="C18" t="str">
            <v>South</v>
          </cell>
          <cell r="D18" t="str">
            <v>Books</v>
          </cell>
          <cell r="E18">
            <v>877.58</v>
          </cell>
          <cell r="F18">
            <v>10</v>
          </cell>
          <cell r="G18">
            <v>0.15</v>
          </cell>
          <cell r="H18">
            <v>45411</v>
          </cell>
          <cell r="I18">
            <v>298.38</v>
          </cell>
        </row>
        <row r="19">
          <cell r="A19" t="str">
            <v>CUST001</v>
          </cell>
          <cell r="B19" t="str">
            <v>Lisa Thomas</v>
          </cell>
          <cell r="C19" t="str">
            <v>West</v>
          </cell>
          <cell r="D19" t="str">
            <v>Books</v>
          </cell>
          <cell r="E19">
            <v>636.70000000000005</v>
          </cell>
          <cell r="F19">
            <v>4</v>
          </cell>
          <cell r="G19">
            <v>0.2</v>
          </cell>
          <cell r="H19">
            <v>45411</v>
          </cell>
          <cell r="I19">
            <v>203.74</v>
          </cell>
        </row>
        <row r="20">
          <cell r="A20" t="str">
            <v>CUST006</v>
          </cell>
          <cell r="B20" t="str">
            <v>Mary Jackson</v>
          </cell>
          <cell r="C20" t="str">
            <v>West</v>
          </cell>
          <cell r="D20" t="str">
            <v>Books</v>
          </cell>
          <cell r="E20">
            <v>1506.14</v>
          </cell>
          <cell r="F20">
            <v>13</v>
          </cell>
          <cell r="G20">
            <v>0.2</v>
          </cell>
          <cell r="H20">
            <v>45412</v>
          </cell>
          <cell r="I20">
            <v>481.96</v>
          </cell>
        </row>
        <row r="21">
          <cell r="A21" t="str">
            <v>CUST026</v>
          </cell>
          <cell r="B21" t="str">
            <v>Mary Davis</v>
          </cell>
          <cell r="C21" t="str">
            <v>Central</v>
          </cell>
          <cell r="D21" t="str">
            <v>Electronics</v>
          </cell>
          <cell r="E21">
            <v>645.02</v>
          </cell>
          <cell r="F21">
            <v>4</v>
          </cell>
          <cell r="G21">
            <v>0</v>
          </cell>
          <cell r="H21">
            <v>45414</v>
          </cell>
          <cell r="I21">
            <v>161.26</v>
          </cell>
        </row>
        <row r="22">
          <cell r="A22" t="str">
            <v>CUST007</v>
          </cell>
          <cell r="B22" t="str">
            <v>Lisa Davis</v>
          </cell>
          <cell r="C22" t="str">
            <v>South</v>
          </cell>
          <cell r="D22" t="str">
            <v>Clothing</v>
          </cell>
          <cell r="E22">
            <v>953.3</v>
          </cell>
          <cell r="F22">
            <v>11</v>
          </cell>
          <cell r="G22">
            <v>0</v>
          </cell>
          <cell r="H22">
            <v>45415</v>
          </cell>
          <cell r="I22">
            <v>476.65</v>
          </cell>
        </row>
        <row r="23">
          <cell r="A23" t="str">
            <v>CUST022</v>
          </cell>
          <cell r="B23" t="str">
            <v>Robert Anderson</v>
          </cell>
          <cell r="C23" t="str">
            <v>North</v>
          </cell>
          <cell r="D23" t="str">
            <v>Electronics</v>
          </cell>
          <cell r="E23">
            <v>388.56</v>
          </cell>
          <cell r="F23">
            <v>14</v>
          </cell>
          <cell r="G23">
            <v>0.15</v>
          </cell>
          <cell r="H23">
            <v>45416</v>
          </cell>
          <cell r="I23">
            <v>82.57</v>
          </cell>
        </row>
        <row r="24">
          <cell r="A24" t="str">
            <v>CUST019</v>
          </cell>
          <cell r="B24" t="str">
            <v>Mary Davis</v>
          </cell>
          <cell r="C24" t="str">
            <v>West</v>
          </cell>
          <cell r="D24" t="str">
            <v>Books</v>
          </cell>
          <cell r="E24">
            <v>743.17</v>
          </cell>
          <cell r="F24">
            <v>9</v>
          </cell>
          <cell r="G24">
            <v>0</v>
          </cell>
          <cell r="H24">
            <v>45416</v>
          </cell>
          <cell r="I24">
            <v>297.27</v>
          </cell>
        </row>
        <row r="25">
          <cell r="A25" t="str">
            <v>CUST023</v>
          </cell>
          <cell r="B25" t="str">
            <v>Mary Davis</v>
          </cell>
          <cell r="C25" t="str">
            <v>Central</v>
          </cell>
          <cell r="D25" t="str">
            <v>Electronics</v>
          </cell>
          <cell r="E25">
            <v>706.37</v>
          </cell>
          <cell r="F25">
            <v>6</v>
          </cell>
          <cell r="G25">
            <v>0</v>
          </cell>
          <cell r="H25">
            <v>45416</v>
          </cell>
          <cell r="I25">
            <v>176.59</v>
          </cell>
        </row>
        <row r="26">
          <cell r="A26" t="str">
            <v>CUST012</v>
          </cell>
          <cell r="B26" t="str">
            <v>Mary Davis</v>
          </cell>
          <cell r="C26" t="str">
            <v>Central</v>
          </cell>
          <cell r="D26" t="str">
            <v>Office Supplies</v>
          </cell>
          <cell r="E26">
            <v>925.31</v>
          </cell>
          <cell r="F26">
            <v>8</v>
          </cell>
          <cell r="G26">
            <v>0.1</v>
          </cell>
          <cell r="H26">
            <v>45418</v>
          </cell>
          <cell r="I26">
            <v>374.75</v>
          </cell>
        </row>
        <row r="27">
          <cell r="A27" t="str">
            <v>CUST010</v>
          </cell>
          <cell r="B27" t="str">
            <v>Linda Brown</v>
          </cell>
          <cell r="C27" t="str">
            <v>South</v>
          </cell>
          <cell r="D27" t="str">
            <v>Electronics</v>
          </cell>
          <cell r="E27">
            <v>1173.1199999999999</v>
          </cell>
          <cell r="F27">
            <v>18</v>
          </cell>
          <cell r="G27">
            <v>0</v>
          </cell>
          <cell r="H27">
            <v>45418</v>
          </cell>
          <cell r="I27">
            <v>293.27999999999997</v>
          </cell>
        </row>
        <row r="28">
          <cell r="A28" t="str">
            <v>CUST030</v>
          </cell>
          <cell r="B28" t="str">
            <v>John Brown</v>
          </cell>
          <cell r="C28" t="str">
            <v>North</v>
          </cell>
          <cell r="D28" t="str">
            <v>Furniture</v>
          </cell>
          <cell r="E28">
            <v>675.54</v>
          </cell>
          <cell r="F28">
            <v>17</v>
          </cell>
          <cell r="G28">
            <v>0</v>
          </cell>
          <cell r="H28">
            <v>45420</v>
          </cell>
          <cell r="I28">
            <v>236.44</v>
          </cell>
        </row>
        <row r="29">
          <cell r="A29" t="str">
            <v>CUST007</v>
          </cell>
          <cell r="B29" t="str">
            <v>Robert Anderson</v>
          </cell>
          <cell r="C29" t="str">
            <v>Central</v>
          </cell>
          <cell r="D29" t="str">
            <v>Books</v>
          </cell>
          <cell r="E29">
            <v>939.09</v>
          </cell>
          <cell r="F29">
            <v>2</v>
          </cell>
          <cell r="G29">
            <v>0.05</v>
          </cell>
          <cell r="H29">
            <v>45422</v>
          </cell>
          <cell r="I29">
            <v>356.85</v>
          </cell>
        </row>
        <row r="30">
          <cell r="A30" t="str">
            <v>CUST028</v>
          </cell>
          <cell r="B30" t="str">
            <v>Linda Taylor</v>
          </cell>
          <cell r="C30" t="str">
            <v>East</v>
          </cell>
          <cell r="D30" t="str">
            <v>Office Supplies</v>
          </cell>
          <cell r="E30">
            <v>983.34</v>
          </cell>
          <cell r="F30">
            <v>19</v>
          </cell>
          <cell r="G30">
            <v>0.1</v>
          </cell>
          <cell r="H30">
            <v>45426</v>
          </cell>
          <cell r="I30">
            <v>398.25</v>
          </cell>
        </row>
        <row r="31">
          <cell r="A31" t="str">
            <v>CUST028</v>
          </cell>
          <cell r="B31" t="str">
            <v>James Wilson</v>
          </cell>
          <cell r="C31" t="str">
            <v>South</v>
          </cell>
          <cell r="D31" t="str">
            <v>Electronics</v>
          </cell>
          <cell r="E31">
            <v>801.21</v>
          </cell>
          <cell r="F31">
            <v>3</v>
          </cell>
          <cell r="G31">
            <v>0.2</v>
          </cell>
          <cell r="H31">
            <v>45426</v>
          </cell>
          <cell r="I31">
            <v>160.24</v>
          </cell>
        </row>
        <row r="32">
          <cell r="A32" t="str">
            <v>CUST025</v>
          </cell>
          <cell r="B32" t="str">
            <v>David Brown</v>
          </cell>
          <cell r="C32" t="str">
            <v>North</v>
          </cell>
          <cell r="D32" t="str">
            <v>Electronics</v>
          </cell>
          <cell r="E32">
            <v>1450.71</v>
          </cell>
          <cell r="F32">
            <v>5</v>
          </cell>
          <cell r="G32">
            <v>0.1</v>
          </cell>
          <cell r="H32">
            <v>45427</v>
          </cell>
          <cell r="I32">
            <v>326.41000000000003</v>
          </cell>
        </row>
        <row r="33">
          <cell r="A33" t="str">
            <v>CUST022</v>
          </cell>
          <cell r="B33" t="str">
            <v>David Davis</v>
          </cell>
          <cell r="C33" t="str">
            <v>Central</v>
          </cell>
          <cell r="D33" t="str">
            <v>Books</v>
          </cell>
          <cell r="E33">
            <v>1023.21</v>
          </cell>
          <cell r="F33">
            <v>18</v>
          </cell>
          <cell r="G33">
            <v>0.05</v>
          </cell>
          <cell r="H33">
            <v>45428</v>
          </cell>
          <cell r="I33">
            <v>388.82</v>
          </cell>
        </row>
        <row r="34">
          <cell r="A34" t="str">
            <v>CUST001</v>
          </cell>
          <cell r="B34" t="str">
            <v>Mary Jackson</v>
          </cell>
          <cell r="C34" t="str">
            <v>West</v>
          </cell>
          <cell r="D34" t="str">
            <v>Furniture</v>
          </cell>
          <cell r="E34">
            <v>853.72</v>
          </cell>
          <cell r="F34">
            <v>5</v>
          </cell>
          <cell r="G34">
            <v>0.15</v>
          </cell>
          <cell r="H34">
            <v>45428</v>
          </cell>
          <cell r="I34">
            <v>253.98</v>
          </cell>
        </row>
        <row r="35">
          <cell r="A35" t="str">
            <v>CUST021</v>
          </cell>
          <cell r="B35" t="str">
            <v>Sarah Anderson</v>
          </cell>
          <cell r="C35" t="str">
            <v>South</v>
          </cell>
          <cell r="D35" t="str">
            <v>Electronics</v>
          </cell>
          <cell r="E35">
            <v>967.89</v>
          </cell>
          <cell r="F35">
            <v>10</v>
          </cell>
          <cell r="G35">
            <v>0.1</v>
          </cell>
          <cell r="H35">
            <v>45429</v>
          </cell>
          <cell r="I35">
            <v>217.78</v>
          </cell>
        </row>
        <row r="36">
          <cell r="A36" t="str">
            <v>CUST015</v>
          </cell>
          <cell r="B36" t="str">
            <v>Linda Taylor</v>
          </cell>
          <cell r="C36" t="str">
            <v>North</v>
          </cell>
          <cell r="D36" t="str">
            <v>Office Supplies</v>
          </cell>
          <cell r="E36">
            <v>1200.9000000000001</v>
          </cell>
          <cell r="F36">
            <v>14</v>
          </cell>
          <cell r="G36">
            <v>0.05</v>
          </cell>
          <cell r="H36">
            <v>45429</v>
          </cell>
          <cell r="I36">
            <v>513.38</v>
          </cell>
        </row>
        <row r="37">
          <cell r="A37" t="str">
            <v>CUST012</v>
          </cell>
          <cell r="B37" t="str">
            <v>Michael Anderson</v>
          </cell>
          <cell r="C37" t="str">
            <v>West</v>
          </cell>
          <cell r="D37" t="str">
            <v>Books</v>
          </cell>
          <cell r="E37">
            <v>472.38</v>
          </cell>
          <cell r="F37">
            <v>12</v>
          </cell>
          <cell r="G37">
            <v>0.2</v>
          </cell>
          <cell r="H37">
            <v>45429</v>
          </cell>
          <cell r="I37">
            <v>151.16</v>
          </cell>
        </row>
        <row r="38">
          <cell r="A38" t="str">
            <v>CUST019</v>
          </cell>
          <cell r="B38" t="str">
            <v>David Brown</v>
          </cell>
          <cell r="C38" t="str">
            <v>East</v>
          </cell>
          <cell r="D38" t="str">
            <v>Office Supplies</v>
          </cell>
          <cell r="E38">
            <v>840.92</v>
          </cell>
          <cell r="F38">
            <v>9</v>
          </cell>
          <cell r="G38">
            <v>0.05</v>
          </cell>
          <cell r="H38">
            <v>45429</v>
          </cell>
          <cell r="I38">
            <v>359.49</v>
          </cell>
        </row>
        <row r="39">
          <cell r="A39" t="str">
            <v>CUST028</v>
          </cell>
          <cell r="B39" t="str">
            <v>Lisa Davis</v>
          </cell>
          <cell r="C39" t="str">
            <v>Central</v>
          </cell>
          <cell r="D39" t="str">
            <v>Furniture</v>
          </cell>
          <cell r="E39">
            <v>1410.06</v>
          </cell>
          <cell r="F39">
            <v>11</v>
          </cell>
          <cell r="G39">
            <v>0.05</v>
          </cell>
          <cell r="H39">
            <v>45434</v>
          </cell>
          <cell r="I39">
            <v>468.84</v>
          </cell>
        </row>
        <row r="40">
          <cell r="A40" t="str">
            <v>CUST008</v>
          </cell>
          <cell r="B40" t="str">
            <v>Mary Wilson</v>
          </cell>
          <cell r="C40" t="str">
            <v>Central</v>
          </cell>
          <cell r="D40" t="str">
            <v>Furniture</v>
          </cell>
          <cell r="E40">
            <v>773.09</v>
          </cell>
          <cell r="F40">
            <v>13</v>
          </cell>
          <cell r="G40">
            <v>0.15</v>
          </cell>
          <cell r="H40">
            <v>45434</v>
          </cell>
          <cell r="I40">
            <v>229.99</v>
          </cell>
        </row>
        <row r="41">
          <cell r="A41" t="str">
            <v>CUST016</v>
          </cell>
          <cell r="B41" t="str">
            <v>Emma Wilson</v>
          </cell>
          <cell r="C41" t="str">
            <v>East</v>
          </cell>
          <cell r="D41" t="str">
            <v>Books</v>
          </cell>
          <cell r="E41">
            <v>580.42999999999995</v>
          </cell>
          <cell r="F41">
            <v>19</v>
          </cell>
          <cell r="G41">
            <v>0.15</v>
          </cell>
          <cell r="H41">
            <v>45435</v>
          </cell>
          <cell r="I41">
            <v>197.35</v>
          </cell>
        </row>
        <row r="42">
          <cell r="A42" t="str">
            <v>CUST005</v>
          </cell>
          <cell r="B42" t="str">
            <v>David Smith</v>
          </cell>
          <cell r="C42" t="str">
            <v>South</v>
          </cell>
          <cell r="D42" t="str">
            <v>Books</v>
          </cell>
          <cell r="E42">
            <v>1151.21</v>
          </cell>
          <cell r="F42">
            <v>15</v>
          </cell>
          <cell r="G42">
            <v>0.1</v>
          </cell>
          <cell r="H42">
            <v>45445</v>
          </cell>
          <cell r="I42">
            <v>414.44</v>
          </cell>
        </row>
        <row r="43">
          <cell r="A43" t="str">
            <v>CUST028</v>
          </cell>
          <cell r="B43" t="str">
            <v>James Wilson</v>
          </cell>
          <cell r="C43" t="str">
            <v>Central</v>
          </cell>
          <cell r="D43" t="str">
            <v>Office Supplies</v>
          </cell>
          <cell r="E43">
            <v>1025.98</v>
          </cell>
          <cell r="F43">
            <v>5</v>
          </cell>
          <cell r="G43">
            <v>0.2</v>
          </cell>
          <cell r="H43">
            <v>45447</v>
          </cell>
          <cell r="I43">
            <v>369.35</v>
          </cell>
        </row>
        <row r="44">
          <cell r="A44" t="str">
            <v>CUST023</v>
          </cell>
          <cell r="B44" t="str">
            <v>David Davis</v>
          </cell>
          <cell r="C44" t="str">
            <v>East</v>
          </cell>
          <cell r="D44" t="str">
            <v>Office Supplies</v>
          </cell>
          <cell r="E44">
            <v>556.41999999999996</v>
          </cell>
          <cell r="F44">
            <v>11</v>
          </cell>
          <cell r="G44">
            <v>0.15</v>
          </cell>
          <cell r="H44">
            <v>45447</v>
          </cell>
          <cell r="I44">
            <v>212.83</v>
          </cell>
        </row>
        <row r="45">
          <cell r="A45" t="str">
            <v>CUST021</v>
          </cell>
          <cell r="B45" t="str">
            <v>James Wilson</v>
          </cell>
          <cell r="C45" t="str">
            <v>Central</v>
          </cell>
          <cell r="D45" t="str">
            <v>Books</v>
          </cell>
          <cell r="E45">
            <v>840.85</v>
          </cell>
          <cell r="F45">
            <v>19</v>
          </cell>
          <cell r="G45">
            <v>0.1</v>
          </cell>
          <cell r="H45">
            <v>45448</v>
          </cell>
          <cell r="I45">
            <v>302.70999999999998</v>
          </cell>
        </row>
        <row r="46">
          <cell r="A46" t="str">
            <v>CUST026</v>
          </cell>
          <cell r="B46" t="str">
            <v>Emma Wilson</v>
          </cell>
          <cell r="C46" t="str">
            <v>North</v>
          </cell>
          <cell r="D46" t="str">
            <v>Furniture</v>
          </cell>
          <cell r="E46">
            <v>1227.25</v>
          </cell>
          <cell r="F46">
            <v>12</v>
          </cell>
          <cell r="G46">
            <v>0.15</v>
          </cell>
          <cell r="H46">
            <v>45448</v>
          </cell>
          <cell r="I46">
            <v>365.11</v>
          </cell>
        </row>
        <row r="47">
          <cell r="A47" t="str">
            <v>CUST017</v>
          </cell>
          <cell r="B47" t="str">
            <v>Linda Davis</v>
          </cell>
          <cell r="C47" t="str">
            <v>Central</v>
          </cell>
          <cell r="D47" t="str">
            <v>Electronics</v>
          </cell>
          <cell r="E47">
            <v>856.7</v>
          </cell>
          <cell r="F47">
            <v>2</v>
          </cell>
          <cell r="G47">
            <v>0</v>
          </cell>
          <cell r="H47">
            <v>45449</v>
          </cell>
          <cell r="I47">
            <v>214.18</v>
          </cell>
        </row>
        <row r="48">
          <cell r="A48" t="str">
            <v>CUST025</v>
          </cell>
          <cell r="B48" t="str">
            <v>David Davis</v>
          </cell>
          <cell r="C48" t="str">
            <v>Central</v>
          </cell>
          <cell r="D48" t="str">
            <v>Office Supplies</v>
          </cell>
          <cell r="E48">
            <v>1225.42</v>
          </cell>
          <cell r="F48">
            <v>8</v>
          </cell>
          <cell r="G48">
            <v>0.15</v>
          </cell>
          <cell r="H48">
            <v>45449</v>
          </cell>
          <cell r="I48">
            <v>468.72</v>
          </cell>
        </row>
        <row r="49">
          <cell r="A49" t="str">
            <v>CUST011</v>
          </cell>
          <cell r="B49" t="str">
            <v>Mary Davis</v>
          </cell>
          <cell r="C49" t="str">
            <v>North</v>
          </cell>
          <cell r="D49" t="str">
            <v>Office Supplies</v>
          </cell>
          <cell r="E49">
            <v>1001.57</v>
          </cell>
          <cell r="F49">
            <v>12</v>
          </cell>
          <cell r="G49">
            <v>0</v>
          </cell>
          <cell r="H49">
            <v>45450</v>
          </cell>
          <cell r="I49">
            <v>450.71</v>
          </cell>
        </row>
        <row r="50">
          <cell r="A50" t="str">
            <v>CUST021</v>
          </cell>
          <cell r="B50" t="str">
            <v>Michael Anderson</v>
          </cell>
          <cell r="C50" t="str">
            <v>East</v>
          </cell>
          <cell r="D50" t="str">
            <v>Furniture</v>
          </cell>
          <cell r="E50">
            <v>1186.8499999999999</v>
          </cell>
          <cell r="F50">
            <v>19</v>
          </cell>
          <cell r="G50">
            <v>0.2</v>
          </cell>
          <cell r="H50">
            <v>45451</v>
          </cell>
          <cell r="I50">
            <v>332.32</v>
          </cell>
        </row>
        <row r="51">
          <cell r="A51" t="str">
            <v>CUST008</v>
          </cell>
          <cell r="B51" t="str">
            <v>John Brown</v>
          </cell>
          <cell r="C51" t="str">
            <v>South</v>
          </cell>
          <cell r="D51" t="str">
            <v>Electronics</v>
          </cell>
          <cell r="E51">
            <v>775.45</v>
          </cell>
          <cell r="F51">
            <v>6</v>
          </cell>
          <cell r="G51">
            <v>0.1</v>
          </cell>
          <cell r="H51">
            <v>45457</v>
          </cell>
          <cell r="I51">
            <v>174.48</v>
          </cell>
        </row>
        <row r="52">
          <cell r="A52" t="str">
            <v>CUST007</v>
          </cell>
          <cell r="B52" t="str">
            <v>Linda Jackson</v>
          </cell>
          <cell r="C52" t="str">
            <v>South</v>
          </cell>
          <cell r="D52" t="str">
            <v>Electronics</v>
          </cell>
          <cell r="E52">
            <v>1021.47</v>
          </cell>
          <cell r="F52">
            <v>6</v>
          </cell>
          <cell r="G52">
            <v>0.05</v>
          </cell>
          <cell r="H52">
            <v>45461</v>
          </cell>
          <cell r="I52">
            <v>242.6</v>
          </cell>
        </row>
        <row r="53">
          <cell r="A53" t="str">
            <v>CUST015</v>
          </cell>
          <cell r="B53" t="str">
            <v>James Wilson</v>
          </cell>
          <cell r="C53" t="str">
            <v>South</v>
          </cell>
          <cell r="D53" t="str">
            <v>Clothing</v>
          </cell>
          <cell r="E53">
            <v>1226.6199999999999</v>
          </cell>
          <cell r="F53">
            <v>7</v>
          </cell>
          <cell r="G53">
            <v>0.1</v>
          </cell>
          <cell r="H53">
            <v>45463</v>
          </cell>
          <cell r="I53">
            <v>551.98</v>
          </cell>
        </row>
        <row r="54">
          <cell r="A54" t="str">
            <v>CUST030</v>
          </cell>
          <cell r="B54" t="str">
            <v>Sarah Davis</v>
          </cell>
          <cell r="C54" t="str">
            <v>South</v>
          </cell>
          <cell r="D54" t="str">
            <v>Furniture</v>
          </cell>
          <cell r="E54">
            <v>1086.93</v>
          </cell>
          <cell r="F54">
            <v>2</v>
          </cell>
          <cell r="G54">
            <v>0</v>
          </cell>
          <cell r="H54">
            <v>45464</v>
          </cell>
          <cell r="I54">
            <v>380.43</v>
          </cell>
        </row>
        <row r="55">
          <cell r="A55" t="str">
            <v>CUST002</v>
          </cell>
          <cell r="B55" t="str">
            <v>Lisa Davis</v>
          </cell>
          <cell r="C55" t="str">
            <v>West</v>
          </cell>
          <cell r="D55" t="str">
            <v>Books</v>
          </cell>
          <cell r="E55">
            <v>942.9</v>
          </cell>
          <cell r="F55">
            <v>18</v>
          </cell>
          <cell r="G55">
            <v>0.1</v>
          </cell>
          <cell r="H55">
            <v>45466</v>
          </cell>
          <cell r="I55">
            <v>339.44</v>
          </cell>
        </row>
        <row r="56">
          <cell r="A56" t="str">
            <v>CUST009</v>
          </cell>
          <cell r="B56" t="str">
            <v>Emma Davis</v>
          </cell>
          <cell r="C56" t="str">
            <v>North</v>
          </cell>
          <cell r="D56" t="str">
            <v>Electronics</v>
          </cell>
          <cell r="E56">
            <v>818.8</v>
          </cell>
          <cell r="F56">
            <v>15</v>
          </cell>
          <cell r="G56">
            <v>0.15</v>
          </cell>
          <cell r="H56">
            <v>45468</v>
          </cell>
          <cell r="I56">
            <v>173.99</v>
          </cell>
        </row>
        <row r="57">
          <cell r="A57" t="str">
            <v>CUST005</v>
          </cell>
          <cell r="B57" t="str">
            <v>Robert Anderson</v>
          </cell>
          <cell r="C57" t="str">
            <v>South</v>
          </cell>
          <cell r="D57" t="str">
            <v>Furniture</v>
          </cell>
          <cell r="E57">
            <v>919.04</v>
          </cell>
          <cell r="F57">
            <v>10</v>
          </cell>
          <cell r="G57">
            <v>0.2</v>
          </cell>
          <cell r="H57">
            <v>45468</v>
          </cell>
          <cell r="I57">
            <v>257.33</v>
          </cell>
        </row>
        <row r="58">
          <cell r="A58" t="str">
            <v>CUST030</v>
          </cell>
          <cell r="B58" t="str">
            <v>Emma Taylor</v>
          </cell>
          <cell r="C58" t="str">
            <v>Central</v>
          </cell>
          <cell r="D58" t="str">
            <v>Books</v>
          </cell>
          <cell r="E58">
            <v>973.26</v>
          </cell>
          <cell r="F58">
            <v>11</v>
          </cell>
          <cell r="G58">
            <v>0</v>
          </cell>
          <cell r="H58">
            <v>45470</v>
          </cell>
          <cell r="I58">
            <v>389.3</v>
          </cell>
        </row>
        <row r="59">
          <cell r="A59" t="str">
            <v>CUST029</v>
          </cell>
          <cell r="B59" t="str">
            <v>Sarah Davis</v>
          </cell>
          <cell r="C59" t="str">
            <v>North</v>
          </cell>
          <cell r="D59" t="str">
            <v>Electronics</v>
          </cell>
          <cell r="E59">
            <v>741.61</v>
          </cell>
          <cell r="F59">
            <v>1</v>
          </cell>
          <cell r="G59">
            <v>0.2</v>
          </cell>
          <cell r="H59">
            <v>45471</v>
          </cell>
          <cell r="I59">
            <v>148.32</v>
          </cell>
        </row>
        <row r="60">
          <cell r="A60" t="str">
            <v>CUST003</v>
          </cell>
          <cell r="B60" t="str">
            <v>Emma Davis</v>
          </cell>
          <cell r="C60" t="str">
            <v>North</v>
          </cell>
          <cell r="D60" t="str">
            <v>Books</v>
          </cell>
          <cell r="E60">
            <v>1248.82</v>
          </cell>
          <cell r="F60">
            <v>2</v>
          </cell>
          <cell r="G60">
            <v>0.1</v>
          </cell>
          <cell r="H60">
            <v>45473</v>
          </cell>
          <cell r="I60">
            <v>449.58</v>
          </cell>
        </row>
        <row r="61">
          <cell r="A61" t="str">
            <v>CUST012</v>
          </cell>
          <cell r="B61" t="str">
            <v>Mary Wilson</v>
          </cell>
          <cell r="C61" t="str">
            <v>West</v>
          </cell>
          <cell r="D61" t="str">
            <v>Clothing</v>
          </cell>
          <cell r="E61">
            <v>1360.36</v>
          </cell>
          <cell r="F61">
            <v>17</v>
          </cell>
          <cell r="G61">
            <v>0</v>
          </cell>
          <cell r="H61">
            <v>45473</v>
          </cell>
          <cell r="I61">
            <v>680.18</v>
          </cell>
        </row>
        <row r="62">
          <cell r="A62" t="str">
            <v>CUST021</v>
          </cell>
          <cell r="B62" t="str">
            <v>Mary Davis</v>
          </cell>
          <cell r="C62" t="str">
            <v>East</v>
          </cell>
          <cell r="D62" t="str">
            <v>Books</v>
          </cell>
          <cell r="E62">
            <v>1383.3</v>
          </cell>
          <cell r="F62">
            <v>8</v>
          </cell>
          <cell r="G62">
            <v>0.1</v>
          </cell>
          <cell r="H62">
            <v>45478</v>
          </cell>
          <cell r="I62">
            <v>497.99</v>
          </cell>
        </row>
        <row r="63">
          <cell r="A63" t="str">
            <v>CUST010</v>
          </cell>
          <cell r="B63" t="str">
            <v>David Brown</v>
          </cell>
          <cell r="C63" t="str">
            <v>Central</v>
          </cell>
          <cell r="D63" t="str">
            <v>Office Supplies</v>
          </cell>
          <cell r="E63">
            <v>488.99</v>
          </cell>
          <cell r="F63">
            <v>9</v>
          </cell>
          <cell r="G63">
            <v>0</v>
          </cell>
          <cell r="H63">
            <v>45479</v>
          </cell>
          <cell r="I63">
            <v>220.05</v>
          </cell>
        </row>
        <row r="64">
          <cell r="A64" t="str">
            <v>CUST026</v>
          </cell>
          <cell r="B64" t="str">
            <v>Mary Davis</v>
          </cell>
          <cell r="C64" t="str">
            <v>East</v>
          </cell>
          <cell r="D64" t="str">
            <v>Furniture</v>
          </cell>
          <cell r="E64">
            <v>933.71</v>
          </cell>
          <cell r="F64">
            <v>17</v>
          </cell>
          <cell r="G64">
            <v>0.1</v>
          </cell>
          <cell r="H64">
            <v>45481</v>
          </cell>
          <cell r="I64">
            <v>294.12</v>
          </cell>
        </row>
        <row r="65">
          <cell r="A65" t="str">
            <v>CUST003</v>
          </cell>
          <cell r="B65" t="str">
            <v>James Davis</v>
          </cell>
          <cell r="C65" t="str">
            <v>West</v>
          </cell>
          <cell r="D65" t="str">
            <v>Electronics</v>
          </cell>
          <cell r="E65">
            <v>1005.53</v>
          </cell>
          <cell r="F65">
            <v>17</v>
          </cell>
          <cell r="G65">
            <v>0.2</v>
          </cell>
          <cell r="H65">
            <v>45481</v>
          </cell>
          <cell r="I65">
            <v>201.11</v>
          </cell>
        </row>
        <row r="66">
          <cell r="A66" t="str">
            <v>CUST029</v>
          </cell>
          <cell r="B66" t="str">
            <v>Emma Wilson</v>
          </cell>
          <cell r="C66" t="str">
            <v>South</v>
          </cell>
          <cell r="D66" t="str">
            <v>Electronics</v>
          </cell>
          <cell r="E66">
            <v>1100.0999999999999</v>
          </cell>
          <cell r="F66">
            <v>5</v>
          </cell>
          <cell r="G66">
            <v>0.05</v>
          </cell>
          <cell r="H66">
            <v>45482</v>
          </cell>
          <cell r="I66">
            <v>261.27</v>
          </cell>
        </row>
        <row r="67">
          <cell r="A67" t="str">
            <v>CUST003</v>
          </cell>
          <cell r="B67" t="str">
            <v>James Wilson</v>
          </cell>
          <cell r="C67" t="str">
            <v>North</v>
          </cell>
          <cell r="D67" t="str">
            <v>Furniture</v>
          </cell>
          <cell r="E67">
            <v>1034.7</v>
          </cell>
          <cell r="F67">
            <v>15</v>
          </cell>
          <cell r="G67">
            <v>0.15</v>
          </cell>
          <cell r="H67">
            <v>45487</v>
          </cell>
          <cell r="I67">
            <v>307.82</v>
          </cell>
        </row>
        <row r="68">
          <cell r="A68" t="str">
            <v>CUST002</v>
          </cell>
          <cell r="B68" t="str">
            <v>Mary Davis</v>
          </cell>
          <cell r="C68" t="str">
            <v>South</v>
          </cell>
          <cell r="D68" t="str">
            <v>Books</v>
          </cell>
          <cell r="E68">
            <v>876.44</v>
          </cell>
          <cell r="F68">
            <v>12</v>
          </cell>
          <cell r="G68">
            <v>0.05</v>
          </cell>
          <cell r="H68">
            <v>45488</v>
          </cell>
          <cell r="I68">
            <v>333.05</v>
          </cell>
        </row>
        <row r="69">
          <cell r="A69" t="str">
            <v>CUST020</v>
          </cell>
          <cell r="B69" t="str">
            <v>David Brown</v>
          </cell>
          <cell r="C69" t="str">
            <v>West</v>
          </cell>
          <cell r="D69" t="str">
            <v>Furniture</v>
          </cell>
          <cell r="E69">
            <v>1371.34</v>
          </cell>
          <cell r="F69">
            <v>5</v>
          </cell>
          <cell r="G69">
            <v>0.05</v>
          </cell>
          <cell r="H69">
            <v>45488</v>
          </cell>
          <cell r="I69">
            <v>455.97</v>
          </cell>
        </row>
        <row r="70">
          <cell r="A70" t="str">
            <v>CUST021</v>
          </cell>
          <cell r="B70" t="str">
            <v>Mary Jackson</v>
          </cell>
          <cell r="C70" t="str">
            <v>North</v>
          </cell>
          <cell r="D70" t="str">
            <v>Electronics</v>
          </cell>
          <cell r="E70">
            <v>1020.26</v>
          </cell>
          <cell r="F70">
            <v>11</v>
          </cell>
          <cell r="G70">
            <v>0.05</v>
          </cell>
          <cell r="H70">
            <v>45494</v>
          </cell>
          <cell r="I70">
            <v>242.31</v>
          </cell>
        </row>
        <row r="71">
          <cell r="A71" t="str">
            <v>CUST008</v>
          </cell>
          <cell r="B71" t="str">
            <v>James Davis</v>
          </cell>
          <cell r="C71" t="str">
            <v>Central</v>
          </cell>
          <cell r="D71" t="str">
            <v>Office Supplies</v>
          </cell>
          <cell r="E71">
            <v>804.81</v>
          </cell>
          <cell r="F71">
            <v>1</v>
          </cell>
          <cell r="G71">
            <v>0.05</v>
          </cell>
          <cell r="H71">
            <v>45502</v>
          </cell>
          <cell r="I71">
            <v>344.06</v>
          </cell>
        </row>
        <row r="72">
          <cell r="A72" t="str">
            <v>CUST030</v>
          </cell>
          <cell r="B72" t="str">
            <v>David Brown</v>
          </cell>
          <cell r="C72" t="str">
            <v>Central</v>
          </cell>
          <cell r="D72" t="str">
            <v>Electronics</v>
          </cell>
          <cell r="E72">
            <v>608.66</v>
          </cell>
          <cell r="F72">
            <v>1</v>
          </cell>
          <cell r="G72">
            <v>0.05</v>
          </cell>
          <cell r="H72">
            <v>45503</v>
          </cell>
          <cell r="I72">
            <v>144.56</v>
          </cell>
        </row>
        <row r="73">
          <cell r="A73" t="str">
            <v>CUST020</v>
          </cell>
          <cell r="B73" t="str">
            <v>Linda Moore</v>
          </cell>
          <cell r="C73" t="str">
            <v>South</v>
          </cell>
          <cell r="D73" t="str">
            <v>Office Supplies</v>
          </cell>
          <cell r="E73">
            <v>981.2</v>
          </cell>
          <cell r="F73">
            <v>19</v>
          </cell>
          <cell r="G73">
            <v>0</v>
          </cell>
          <cell r="H73">
            <v>45504</v>
          </cell>
          <cell r="I73">
            <v>441.54</v>
          </cell>
        </row>
        <row r="74">
          <cell r="A74" t="str">
            <v>CUST024</v>
          </cell>
          <cell r="B74" t="str">
            <v>David Brown</v>
          </cell>
          <cell r="C74" t="str">
            <v>East</v>
          </cell>
          <cell r="D74" t="str">
            <v>Electronics</v>
          </cell>
          <cell r="E74">
            <v>539.77</v>
          </cell>
          <cell r="F74">
            <v>10</v>
          </cell>
          <cell r="G74">
            <v>0.15</v>
          </cell>
          <cell r="H74">
            <v>45509</v>
          </cell>
          <cell r="I74">
            <v>114.7</v>
          </cell>
        </row>
        <row r="75">
          <cell r="A75" t="str">
            <v>CUST012</v>
          </cell>
          <cell r="B75" t="str">
            <v>David Anderson</v>
          </cell>
          <cell r="C75" t="str">
            <v>South</v>
          </cell>
          <cell r="D75" t="str">
            <v>Books</v>
          </cell>
          <cell r="E75">
            <v>804.45</v>
          </cell>
          <cell r="F75">
            <v>5</v>
          </cell>
          <cell r="G75">
            <v>0.2</v>
          </cell>
          <cell r="H75">
            <v>45509</v>
          </cell>
          <cell r="I75">
            <v>257.42</v>
          </cell>
        </row>
        <row r="76">
          <cell r="A76" t="str">
            <v>CUST024</v>
          </cell>
          <cell r="B76" t="str">
            <v>Emma Davis</v>
          </cell>
          <cell r="C76" t="str">
            <v>West</v>
          </cell>
          <cell r="D76" t="str">
            <v>Electronics</v>
          </cell>
          <cell r="E76">
            <v>1526.6</v>
          </cell>
          <cell r="F76">
            <v>13</v>
          </cell>
          <cell r="G76">
            <v>0.2</v>
          </cell>
          <cell r="H76">
            <v>45512</v>
          </cell>
          <cell r="I76">
            <v>305.32</v>
          </cell>
        </row>
        <row r="77">
          <cell r="A77" t="str">
            <v>CUST012</v>
          </cell>
          <cell r="B77" t="str">
            <v>Linda Wilson</v>
          </cell>
          <cell r="C77" t="str">
            <v>West</v>
          </cell>
          <cell r="D77" t="str">
            <v>Electronics</v>
          </cell>
          <cell r="E77">
            <v>1215.26</v>
          </cell>
          <cell r="F77">
            <v>5</v>
          </cell>
          <cell r="G77">
            <v>0.15</v>
          </cell>
          <cell r="H77">
            <v>45513</v>
          </cell>
          <cell r="I77">
            <v>258.24</v>
          </cell>
        </row>
        <row r="78">
          <cell r="A78" t="str">
            <v>CUST005</v>
          </cell>
          <cell r="B78" t="str">
            <v>Linda Taylor</v>
          </cell>
          <cell r="C78" t="str">
            <v>Central</v>
          </cell>
          <cell r="D78" t="str">
            <v>Furniture</v>
          </cell>
          <cell r="E78">
            <v>1261.3399999999999</v>
          </cell>
          <cell r="F78">
            <v>3</v>
          </cell>
          <cell r="G78">
            <v>0</v>
          </cell>
          <cell r="H78">
            <v>45519</v>
          </cell>
          <cell r="I78">
            <v>441.47</v>
          </cell>
        </row>
        <row r="79">
          <cell r="A79" t="str">
            <v>CUST004</v>
          </cell>
          <cell r="B79" t="str">
            <v>Lisa Thomas</v>
          </cell>
          <cell r="C79" t="str">
            <v>North</v>
          </cell>
          <cell r="D79" t="str">
            <v>Furniture</v>
          </cell>
          <cell r="E79">
            <v>518.07000000000005</v>
          </cell>
          <cell r="F79">
            <v>7</v>
          </cell>
          <cell r="G79">
            <v>0.05</v>
          </cell>
          <cell r="H79">
            <v>45522</v>
          </cell>
          <cell r="I79">
            <v>172.26</v>
          </cell>
        </row>
        <row r="80">
          <cell r="A80" t="str">
            <v>CUST026</v>
          </cell>
          <cell r="B80" t="str">
            <v>Linda Wilson</v>
          </cell>
          <cell r="C80" t="str">
            <v>West</v>
          </cell>
          <cell r="D80" t="str">
            <v>Office Supplies</v>
          </cell>
          <cell r="E80">
            <v>1111.3399999999999</v>
          </cell>
          <cell r="F80">
            <v>1</v>
          </cell>
          <cell r="G80">
            <v>0</v>
          </cell>
          <cell r="H80">
            <v>45523</v>
          </cell>
          <cell r="I80">
            <v>500.1</v>
          </cell>
        </row>
        <row r="81">
          <cell r="A81" t="str">
            <v>CUST030</v>
          </cell>
          <cell r="B81" t="str">
            <v>Mary Davis</v>
          </cell>
          <cell r="C81" t="str">
            <v>East</v>
          </cell>
          <cell r="D81" t="str">
            <v>Clothing</v>
          </cell>
          <cell r="E81">
            <v>1291.47</v>
          </cell>
          <cell r="F81">
            <v>18</v>
          </cell>
          <cell r="G81">
            <v>0.1</v>
          </cell>
          <cell r="H81">
            <v>45526</v>
          </cell>
          <cell r="I81">
            <v>581.16</v>
          </cell>
        </row>
        <row r="82">
          <cell r="A82" t="str">
            <v>CUST007</v>
          </cell>
          <cell r="B82" t="str">
            <v>David Brown</v>
          </cell>
          <cell r="C82" t="str">
            <v>North</v>
          </cell>
          <cell r="D82" t="str">
            <v>Books</v>
          </cell>
          <cell r="E82">
            <v>679.71</v>
          </cell>
          <cell r="F82">
            <v>19</v>
          </cell>
          <cell r="G82">
            <v>0</v>
          </cell>
          <cell r="H82">
            <v>45534</v>
          </cell>
          <cell r="I82">
            <v>271.88</v>
          </cell>
        </row>
        <row r="83">
          <cell r="A83" t="str">
            <v>CUST020</v>
          </cell>
          <cell r="B83" t="str">
            <v>Linda Jackson</v>
          </cell>
          <cell r="C83" t="str">
            <v>East</v>
          </cell>
          <cell r="D83" t="str">
            <v>Furniture</v>
          </cell>
          <cell r="E83">
            <v>1143.69</v>
          </cell>
          <cell r="F83">
            <v>17</v>
          </cell>
          <cell r="G83">
            <v>0</v>
          </cell>
          <cell r="H83">
            <v>45534</v>
          </cell>
          <cell r="I83">
            <v>400.29</v>
          </cell>
        </row>
        <row r="84">
          <cell r="A84" t="str">
            <v>CUST028</v>
          </cell>
          <cell r="B84" t="str">
            <v>Linda Brown</v>
          </cell>
          <cell r="C84" t="str">
            <v>Central</v>
          </cell>
          <cell r="D84" t="str">
            <v>Electronics</v>
          </cell>
          <cell r="E84">
            <v>790.08</v>
          </cell>
          <cell r="F84">
            <v>7</v>
          </cell>
          <cell r="G84">
            <v>0.1</v>
          </cell>
          <cell r="H84">
            <v>45536</v>
          </cell>
          <cell r="I84">
            <v>177.77</v>
          </cell>
        </row>
        <row r="85">
          <cell r="A85" t="str">
            <v>CUST005</v>
          </cell>
          <cell r="B85" t="str">
            <v>Lisa Davis</v>
          </cell>
          <cell r="C85" t="str">
            <v>Central</v>
          </cell>
          <cell r="D85" t="str">
            <v>Books</v>
          </cell>
          <cell r="E85">
            <v>1070.68</v>
          </cell>
          <cell r="F85">
            <v>7</v>
          </cell>
          <cell r="G85">
            <v>0.05</v>
          </cell>
          <cell r="H85">
            <v>45536</v>
          </cell>
          <cell r="I85">
            <v>406.86</v>
          </cell>
        </row>
        <row r="86">
          <cell r="A86" t="str">
            <v>CUST015</v>
          </cell>
          <cell r="B86" t="str">
            <v>David Thomas</v>
          </cell>
          <cell r="C86" t="str">
            <v>West</v>
          </cell>
          <cell r="D86" t="str">
            <v>Clothing</v>
          </cell>
          <cell r="E86">
            <v>1168.8900000000001</v>
          </cell>
          <cell r="F86">
            <v>4</v>
          </cell>
          <cell r="G86">
            <v>0.1</v>
          </cell>
          <cell r="H86">
            <v>45544</v>
          </cell>
          <cell r="I86">
            <v>526</v>
          </cell>
        </row>
        <row r="87">
          <cell r="A87" t="str">
            <v>CUST003</v>
          </cell>
          <cell r="B87" t="str">
            <v>James Davis</v>
          </cell>
          <cell r="C87" t="str">
            <v>South</v>
          </cell>
          <cell r="D87" t="str">
            <v>Electronics</v>
          </cell>
          <cell r="E87">
            <v>1335.87</v>
          </cell>
          <cell r="F87">
            <v>17</v>
          </cell>
          <cell r="G87">
            <v>0</v>
          </cell>
          <cell r="H87">
            <v>45544</v>
          </cell>
          <cell r="I87">
            <v>333.97</v>
          </cell>
        </row>
        <row r="88">
          <cell r="A88" t="str">
            <v>CUST023</v>
          </cell>
          <cell r="B88" t="str">
            <v>David Brown</v>
          </cell>
          <cell r="C88" t="str">
            <v>East</v>
          </cell>
          <cell r="D88" t="str">
            <v>Furniture</v>
          </cell>
          <cell r="E88">
            <v>873.7</v>
          </cell>
          <cell r="F88">
            <v>9</v>
          </cell>
          <cell r="G88">
            <v>0</v>
          </cell>
          <cell r="H88">
            <v>45546</v>
          </cell>
          <cell r="I88">
            <v>305.8</v>
          </cell>
        </row>
        <row r="89">
          <cell r="A89" t="str">
            <v>CUST004</v>
          </cell>
          <cell r="B89" t="str">
            <v>Sarah Davis</v>
          </cell>
          <cell r="C89" t="str">
            <v>West</v>
          </cell>
          <cell r="D89" t="str">
            <v>Office Supplies</v>
          </cell>
          <cell r="E89">
            <v>1443.98</v>
          </cell>
          <cell r="F89">
            <v>19</v>
          </cell>
          <cell r="G89">
            <v>0</v>
          </cell>
          <cell r="H89">
            <v>45547</v>
          </cell>
          <cell r="I89">
            <v>649.79</v>
          </cell>
        </row>
        <row r="90">
          <cell r="A90" t="str">
            <v>CUST023</v>
          </cell>
          <cell r="B90" t="str">
            <v>James Wilson</v>
          </cell>
          <cell r="C90" t="str">
            <v>East</v>
          </cell>
          <cell r="D90" t="str">
            <v>Office Supplies</v>
          </cell>
          <cell r="E90">
            <v>1154.33</v>
          </cell>
          <cell r="F90">
            <v>11</v>
          </cell>
          <cell r="G90">
            <v>0.15</v>
          </cell>
          <cell r="H90">
            <v>45549</v>
          </cell>
          <cell r="I90">
            <v>441.53</v>
          </cell>
        </row>
        <row r="91">
          <cell r="A91" t="str">
            <v>CUST022</v>
          </cell>
          <cell r="B91" t="str">
            <v>Linda Brown</v>
          </cell>
          <cell r="C91" t="str">
            <v>South</v>
          </cell>
          <cell r="D91" t="str">
            <v>Books</v>
          </cell>
          <cell r="E91">
            <v>1264.49</v>
          </cell>
          <cell r="F91">
            <v>16</v>
          </cell>
          <cell r="G91">
            <v>0.05</v>
          </cell>
          <cell r="H91">
            <v>45549</v>
          </cell>
          <cell r="I91">
            <v>480.51</v>
          </cell>
        </row>
        <row r="92">
          <cell r="A92" t="str">
            <v>CUST007</v>
          </cell>
          <cell r="B92" t="str">
            <v>Emma Taylor</v>
          </cell>
          <cell r="C92" t="str">
            <v>West</v>
          </cell>
          <cell r="D92" t="str">
            <v>Furniture</v>
          </cell>
          <cell r="E92">
            <v>1101.55</v>
          </cell>
          <cell r="F92">
            <v>4</v>
          </cell>
          <cell r="G92">
            <v>0.1</v>
          </cell>
          <cell r="H92">
            <v>45551</v>
          </cell>
          <cell r="I92">
            <v>346.99</v>
          </cell>
        </row>
        <row r="93">
          <cell r="A93" t="str">
            <v>CUST013</v>
          </cell>
          <cell r="B93" t="str">
            <v>Robert Anderson</v>
          </cell>
          <cell r="C93" t="str">
            <v>South</v>
          </cell>
          <cell r="D93" t="str">
            <v>Furniture</v>
          </cell>
          <cell r="E93">
            <v>727.73</v>
          </cell>
          <cell r="F93">
            <v>1</v>
          </cell>
          <cell r="G93">
            <v>0.1</v>
          </cell>
          <cell r="H93">
            <v>45552</v>
          </cell>
          <cell r="I93">
            <v>229.23</v>
          </cell>
        </row>
        <row r="94">
          <cell r="A94" t="str">
            <v>CUST027</v>
          </cell>
          <cell r="B94" t="str">
            <v>Emma Davis</v>
          </cell>
          <cell r="C94" t="str">
            <v>East</v>
          </cell>
          <cell r="D94" t="str">
            <v>Office Supplies</v>
          </cell>
          <cell r="E94">
            <v>875.41</v>
          </cell>
          <cell r="F94">
            <v>13</v>
          </cell>
          <cell r="G94">
            <v>0.15</v>
          </cell>
          <cell r="H94">
            <v>45552</v>
          </cell>
          <cell r="I94">
            <v>334.84</v>
          </cell>
        </row>
        <row r="95">
          <cell r="A95" t="str">
            <v>CUST003</v>
          </cell>
          <cell r="B95" t="str">
            <v>James Wilson</v>
          </cell>
          <cell r="C95" t="str">
            <v>West</v>
          </cell>
          <cell r="D95" t="str">
            <v>Electronics</v>
          </cell>
          <cell r="E95">
            <v>1158.94</v>
          </cell>
          <cell r="F95">
            <v>19</v>
          </cell>
          <cell r="G95">
            <v>0.2</v>
          </cell>
          <cell r="H95">
            <v>45553</v>
          </cell>
          <cell r="I95">
            <v>231.79</v>
          </cell>
        </row>
        <row r="96">
          <cell r="A96" t="str">
            <v>CUST018</v>
          </cell>
          <cell r="B96" t="str">
            <v>Mary Jackson</v>
          </cell>
          <cell r="C96" t="str">
            <v>South</v>
          </cell>
          <cell r="D96" t="str">
            <v>Books</v>
          </cell>
          <cell r="E96">
            <v>966.3</v>
          </cell>
          <cell r="F96">
            <v>2</v>
          </cell>
          <cell r="G96">
            <v>0.15</v>
          </cell>
          <cell r="H96">
            <v>45557</v>
          </cell>
          <cell r="I96">
            <v>328.54</v>
          </cell>
        </row>
        <row r="97">
          <cell r="A97" t="str">
            <v>CUST020</v>
          </cell>
          <cell r="B97" t="str">
            <v>James Taylor</v>
          </cell>
          <cell r="C97" t="str">
            <v>South</v>
          </cell>
          <cell r="D97" t="str">
            <v>Books</v>
          </cell>
          <cell r="E97">
            <v>917.48</v>
          </cell>
          <cell r="F97">
            <v>6</v>
          </cell>
          <cell r="G97">
            <v>0</v>
          </cell>
          <cell r="H97">
            <v>45558</v>
          </cell>
          <cell r="I97">
            <v>366.99</v>
          </cell>
        </row>
        <row r="98">
          <cell r="A98" t="str">
            <v>CUST029</v>
          </cell>
          <cell r="B98" t="str">
            <v>Emma Wilson</v>
          </cell>
          <cell r="C98" t="str">
            <v>West</v>
          </cell>
          <cell r="D98" t="str">
            <v>Furniture</v>
          </cell>
          <cell r="E98">
            <v>1172.97</v>
          </cell>
          <cell r="F98">
            <v>7</v>
          </cell>
          <cell r="G98">
            <v>0.15</v>
          </cell>
          <cell r="H98">
            <v>45559</v>
          </cell>
          <cell r="I98">
            <v>348.96</v>
          </cell>
        </row>
        <row r="99">
          <cell r="A99" t="str">
            <v>CUST021</v>
          </cell>
          <cell r="B99" t="str">
            <v>James Wilson</v>
          </cell>
          <cell r="C99" t="str">
            <v>North</v>
          </cell>
          <cell r="D99" t="str">
            <v>Clothing</v>
          </cell>
          <cell r="E99">
            <v>1205.82</v>
          </cell>
          <cell r="F99">
            <v>11</v>
          </cell>
          <cell r="G99">
            <v>0.1</v>
          </cell>
          <cell r="H99">
            <v>45559</v>
          </cell>
          <cell r="I99">
            <v>542.62</v>
          </cell>
        </row>
        <row r="100">
          <cell r="A100" t="str">
            <v>CUST017</v>
          </cell>
          <cell r="B100" t="str">
            <v>Sarah Davis</v>
          </cell>
          <cell r="C100" t="str">
            <v>West</v>
          </cell>
          <cell r="D100" t="str">
            <v>Office Supplies</v>
          </cell>
          <cell r="E100">
            <v>826.93</v>
          </cell>
          <cell r="F100">
            <v>10</v>
          </cell>
          <cell r="G100">
            <v>0.2</v>
          </cell>
          <cell r="H100">
            <v>45564</v>
          </cell>
          <cell r="I100">
            <v>297.69</v>
          </cell>
        </row>
        <row r="101">
          <cell r="A101" t="str">
            <v>CUST003</v>
          </cell>
          <cell r="B101" t="str">
            <v>James Wilson</v>
          </cell>
          <cell r="C101" t="str">
            <v>Central</v>
          </cell>
          <cell r="D101" t="str">
            <v>Clothing</v>
          </cell>
          <cell r="E101">
            <v>902.19</v>
          </cell>
          <cell r="F101">
            <v>12</v>
          </cell>
          <cell r="G101">
            <v>0</v>
          </cell>
          <cell r="H101">
            <v>45564</v>
          </cell>
          <cell r="I101">
            <v>451.1</v>
          </cell>
        </row>
        <row r="102">
          <cell r="A102" t="str">
            <v>CUST027</v>
          </cell>
          <cell r="B102" t="str">
            <v>Emma Davis</v>
          </cell>
          <cell r="C102" t="str">
            <v>North</v>
          </cell>
          <cell r="D102" t="str">
            <v>Books</v>
          </cell>
          <cell r="E102">
            <v>585.97</v>
          </cell>
          <cell r="F102">
            <v>17</v>
          </cell>
          <cell r="G102">
            <v>0.1</v>
          </cell>
          <cell r="H102">
            <v>45565</v>
          </cell>
          <cell r="I102">
            <v>210.95</v>
          </cell>
        </row>
        <row r="103">
          <cell r="A103" t="str">
            <v>CUST016</v>
          </cell>
          <cell r="B103" t="str">
            <v>Michael Anderson</v>
          </cell>
          <cell r="C103" t="str">
            <v>North</v>
          </cell>
          <cell r="D103" t="str">
            <v>Clothing</v>
          </cell>
          <cell r="E103">
            <v>990.19</v>
          </cell>
          <cell r="F103">
            <v>8</v>
          </cell>
          <cell r="G103">
            <v>0.1</v>
          </cell>
          <cell r="H103">
            <v>45565</v>
          </cell>
          <cell r="I103">
            <v>445.59</v>
          </cell>
        </row>
        <row r="104">
          <cell r="A104" t="str">
            <v>CUST008</v>
          </cell>
          <cell r="B104" t="str">
            <v>David Davis</v>
          </cell>
          <cell r="C104" t="str">
            <v>Central</v>
          </cell>
          <cell r="D104" t="str">
            <v>Electronics</v>
          </cell>
          <cell r="E104">
            <v>1014.09</v>
          </cell>
          <cell r="F104">
            <v>13</v>
          </cell>
          <cell r="G104">
            <v>0.2</v>
          </cell>
          <cell r="H104">
            <v>45567</v>
          </cell>
          <cell r="I104">
            <v>202.82</v>
          </cell>
        </row>
        <row r="105">
          <cell r="A105" t="str">
            <v>CUST012</v>
          </cell>
          <cell r="B105" t="str">
            <v>Lisa Davis</v>
          </cell>
          <cell r="C105" t="str">
            <v>North</v>
          </cell>
          <cell r="D105" t="str">
            <v>Electronics</v>
          </cell>
          <cell r="E105">
            <v>925.29</v>
          </cell>
          <cell r="F105">
            <v>17</v>
          </cell>
          <cell r="G105">
            <v>0</v>
          </cell>
          <cell r="H105">
            <v>45570</v>
          </cell>
          <cell r="I105">
            <v>231.32</v>
          </cell>
        </row>
        <row r="106">
          <cell r="A106" t="str">
            <v>CUST025</v>
          </cell>
          <cell r="B106" t="str">
            <v>Mary Jackson</v>
          </cell>
          <cell r="C106" t="str">
            <v>East</v>
          </cell>
          <cell r="D106" t="str">
            <v>Furniture</v>
          </cell>
          <cell r="E106">
            <v>1286.54</v>
          </cell>
          <cell r="F106">
            <v>8</v>
          </cell>
          <cell r="G106">
            <v>0</v>
          </cell>
          <cell r="H106">
            <v>45575</v>
          </cell>
          <cell r="I106">
            <v>450.29</v>
          </cell>
        </row>
        <row r="107">
          <cell r="A107" t="str">
            <v>CUST014</v>
          </cell>
          <cell r="B107" t="str">
            <v>Sarah Davis</v>
          </cell>
          <cell r="C107" t="str">
            <v>South</v>
          </cell>
          <cell r="D107" t="str">
            <v>Books</v>
          </cell>
          <cell r="E107">
            <v>961.62</v>
          </cell>
          <cell r="F107">
            <v>8</v>
          </cell>
          <cell r="G107">
            <v>0.2</v>
          </cell>
          <cell r="H107">
            <v>45577</v>
          </cell>
          <cell r="I107">
            <v>307.72000000000003</v>
          </cell>
        </row>
        <row r="108">
          <cell r="A108" t="str">
            <v>CUST008</v>
          </cell>
          <cell r="B108" t="str">
            <v>James Wilson</v>
          </cell>
          <cell r="C108" t="str">
            <v>East</v>
          </cell>
          <cell r="D108" t="str">
            <v>Books</v>
          </cell>
          <cell r="E108">
            <v>1081.1400000000001</v>
          </cell>
          <cell r="F108">
            <v>19</v>
          </cell>
          <cell r="G108">
            <v>0.15</v>
          </cell>
          <cell r="H108">
            <v>45577</v>
          </cell>
          <cell r="I108">
            <v>367.59</v>
          </cell>
        </row>
        <row r="109">
          <cell r="A109" t="str">
            <v>CUST015</v>
          </cell>
          <cell r="B109" t="str">
            <v>James Wilson</v>
          </cell>
          <cell r="C109" t="str">
            <v>West</v>
          </cell>
          <cell r="D109" t="str">
            <v>Clothing</v>
          </cell>
          <cell r="E109">
            <v>1923.66</v>
          </cell>
          <cell r="F109">
            <v>9</v>
          </cell>
          <cell r="G109">
            <v>0.2</v>
          </cell>
          <cell r="H109">
            <v>45580</v>
          </cell>
          <cell r="I109">
            <v>769.46</v>
          </cell>
        </row>
        <row r="110">
          <cell r="A110" t="str">
            <v>CUST025</v>
          </cell>
          <cell r="B110" t="str">
            <v>Emma Taylor</v>
          </cell>
          <cell r="C110" t="str">
            <v>Central</v>
          </cell>
          <cell r="D110" t="str">
            <v>Clothing</v>
          </cell>
          <cell r="E110">
            <v>728.71</v>
          </cell>
          <cell r="F110">
            <v>14</v>
          </cell>
          <cell r="G110">
            <v>0.1</v>
          </cell>
          <cell r="H110">
            <v>45581</v>
          </cell>
          <cell r="I110">
            <v>327.92</v>
          </cell>
        </row>
        <row r="111">
          <cell r="A111" t="str">
            <v>CUST019</v>
          </cell>
          <cell r="B111" t="str">
            <v>Linda Jackson</v>
          </cell>
          <cell r="C111" t="str">
            <v>Central</v>
          </cell>
          <cell r="D111" t="str">
            <v>Clothing</v>
          </cell>
          <cell r="E111">
            <v>1301.8900000000001</v>
          </cell>
          <cell r="F111">
            <v>7</v>
          </cell>
          <cell r="G111">
            <v>0.15</v>
          </cell>
          <cell r="H111">
            <v>45581</v>
          </cell>
          <cell r="I111">
            <v>553.29999999999995</v>
          </cell>
        </row>
        <row r="112">
          <cell r="A112" t="str">
            <v>CUST024</v>
          </cell>
          <cell r="B112" t="str">
            <v>Emma Taylor</v>
          </cell>
          <cell r="C112" t="str">
            <v>East</v>
          </cell>
          <cell r="D112" t="str">
            <v>Books</v>
          </cell>
          <cell r="E112">
            <v>980.18</v>
          </cell>
          <cell r="F112">
            <v>16</v>
          </cell>
          <cell r="G112">
            <v>0.1</v>
          </cell>
          <cell r="H112">
            <v>45582</v>
          </cell>
          <cell r="I112">
            <v>352.86</v>
          </cell>
        </row>
        <row r="113">
          <cell r="A113" t="str">
            <v>CUST027</v>
          </cell>
          <cell r="B113" t="str">
            <v>James Wilson</v>
          </cell>
          <cell r="C113" t="str">
            <v>West</v>
          </cell>
          <cell r="D113" t="str">
            <v>Clothing</v>
          </cell>
          <cell r="E113">
            <v>697.57</v>
          </cell>
          <cell r="F113">
            <v>17</v>
          </cell>
          <cell r="G113">
            <v>0.1</v>
          </cell>
          <cell r="H113">
            <v>45584</v>
          </cell>
          <cell r="I113">
            <v>313.91000000000003</v>
          </cell>
        </row>
        <row r="114">
          <cell r="A114" t="str">
            <v>CUST006</v>
          </cell>
          <cell r="B114" t="str">
            <v>David Anderson</v>
          </cell>
          <cell r="C114" t="str">
            <v>West</v>
          </cell>
          <cell r="D114" t="str">
            <v>Furniture</v>
          </cell>
          <cell r="E114">
            <v>1193.6099999999999</v>
          </cell>
          <cell r="F114">
            <v>1</v>
          </cell>
          <cell r="G114">
            <v>0.15</v>
          </cell>
          <cell r="H114">
            <v>45584</v>
          </cell>
          <cell r="I114">
            <v>355.1</v>
          </cell>
        </row>
        <row r="115">
          <cell r="A115" t="str">
            <v>CUST009</v>
          </cell>
          <cell r="B115" t="str">
            <v>Emma Davis</v>
          </cell>
          <cell r="C115" t="str">
            <v>South</v>
          </cell>
          <cell r="D115" t="str">
            <v>Electronics</v>
          </cell>
          <cell r="E115">
            <v>771.02</v>
          </cell>
          <cell r="F115">
            <v>1</v>
          </cell>
          <cell r="G115">
            <v>0</v>
          </cell>
          <cell r="H115">
            <v>45585</v>
          </cell>
          <cell r="I115">
            <v>192.76</v>
          </cell>
        </row>
        <row r="116">
          <cell r="A116" t="str">
            <v>CUST003</v>
          </cell>
          <cell r="B116" t="str">
            <v>Linda Moore</v>
          </cell>
          <cell r="C116" t="str">
            <v>North</v>
          </cell>
          <cell r="D116" t="str">
            <v>Clothing</v>
          </cell>
          <cell r="E116">
            <v>661.09</v>
          </cell>
          <cell r="F116">
            <v>1</v>
          </cell>
          <cell r="G116">
            <v>0.2</v>
          </cell>
          <cell r="H116">
            <v>45593</v>
          </cell>
          <cell r="I116">
            <v>264.44</v>
          </cell>
        </row>
        <row r="117">
          <cell r="A117" t="str">
            <v>CUST012</v>
          </cell>
          <cell r="B117" t="str">
            <v>David Brown</v>
          </cell>
          <cell r="C117" t="str">
            <v>West</v>
          </cell>
          <cell r="D117" t="str">
            <v>Electronics</v>
          </cell>
          <cell r="E117">
            <v>688.83</v>
          </cell>
          <cell r="F117">
            <v>15</v>
          </cell>
          <cell r="G117">
            <v>0</v>
          </cell>
          <cell r="H117">
            <v>45595</v>
          </cell>
          <cell r="I117">
            <v>172.21</v>
          </cell>
        </row>
        <row r="118">
          <cell r="A118" t="str">
            <v>CUST013</v>
          </cell>
          <cell r="B118" t="str">
            <v>Linda Wilson</v>
          </cell>
          <cell r="C118" t="str">
            <v>Central</v>
          </cell>
          <cell r="D118" t="str">
            <v>Books</v>
          </cell>
          <cell r="E118">
            <v>1249.0999999999999</v>
          </cell>
          <cell r="F118">
            <v>4</v>
          </cell>
          <cell r="G118">
            <v>0.05</v>
          </cell>
          <cell r="H118">
            <v>45597</v>
          </cell>
          <cell r="I118">
            <v>474.66</v>
          </cell>
        </row>
        <row r="119">
          <cell r="A119" t="str">
            <v>CUST008</v>
          </cell>
          <cell r="B119" t="str">
            <v>James Wilson</v>
          </cell>
          <cell r="C119" t="str">
            <v>East</v>
          </cell>
          <cell r="D119" t="str">
            <v>Office Supplies</v>
          </cell>
          <cell r="E119">
            <v>1014.22</v>
          </cell>
          <cell r="F119">
            <v>14</v>
          </cell>
          <cell r="G119">
            <v>0.05</v>
          </cell>
          <cell r="H119">
            <v>45599</v>
          </cell>
          <cell r="I119">
            <v>433.58</v>
          </cell>
        </row>
        <row r="120">
          <cell r="A120" t="str">
            <v>CUST025</v>
          </cell>
          <cell r="B120" t="str">
            <v>Lisa Davis</v>
          </cell>
          <cell r="C120" t="str">
            <v>East</v>
          </cell>
          <cell r="D120" t="str">
            <v>Books</v>
          </cell>
          <cell r="E120">
            <v>1010.58</v>
          </cell>
          <cell r="F120">
            <v>2</v>
          </cell>
          <cell r="G120">
            <v>0.15</v>
          </cell>
          <cell r="H120">
            <v>45605</v>
          </cell>
          <cell r="I120">
            <v>343.6</v>
          </cell>
        </row>
        <row r="121">
          <cell r="A121" t="str">
            <v>CUST026</v>
          </cell>
          <cell r="B121" t="str">
            <v>Mary Wilson</v>
          </cell>
          <cell r="C121" t="str">
            <v>North</v>
          </cell>
          <cell r="D121" t="str">
            <v>Furniture</v>
          </cell>
          <cell r="E121">
            <v>957.29</v>
          </cell>
          <cell r="F121">
            <v>4</v>
          </cell>
          <cell r="G121">
            <v>0.05</v>
          </cell>
          <cell r="H121">
            <v>45605</v>
          </cell>
          <cell r="I121">
            <v>318.3</v>
          </cell>
        </row>
        <row r="122">
          <cell r="A122" t="str">
            <v>CUST001</v>
          </cell>
          <cell r="B122" t="str">
            <v>Lisa Thomas</v>
          </cell>
          <cell r="C122" t="str">
            <v>North</v>
          </cell>
          <cell r="D122" t="str">
            <v>Furniture</v>
          </cell>
          <cell r="E122">
            <v>1077.92</v>
          </cell>
          <cell r="F122">
            <v>3</v>
          </cell>
          <cell r="G122">
            <v>0.05</v>
          </cell>
          <cell r="H122">
            <v>45608</v>
          </cell>
          <cell r="I122">
            <v>358.41</v>
          </cell>
        </row>
        <row r="123">
          <cell r="A123" t="str">
            <v>CUST028</v>
          </cell>
          <cell r="B123" t="str">
            <v>Linda Brown</v>
          </cell>
          <cell r="C123" t="str">
            <v>South</v>
          </cell>
          <cell r="D123" t="str">
            <v>Clothing</v>
          </cell>
          <cell r="E123">
            <v>1163.01</v>
          </cell>
          <cell r="F123">
            <v>5</v>
          </cell>
          <cell r="G123">
            <v>0</v>
          </cell>
          <cell r="H123">
            <v>45611</v>
          </cell>
          <cell r="I123">
            <v>581.5</v>
          </cell>
        </row>
        <row r="124">
          <cell r="A124" t="str">
            <v>CUST025</v>
          </cell>
          <cell r="B124" t="str">
            <v>Lisa Thomas</v>
          </cell>
          <cell r="C124" t="str">
            <v>East</v>
          </cell>
          <cell r="D124" t="str">
            <v>Office Supplies</v>
          </cell>
          <cell r="E124">
            <v>1014.56</v>
          </cell>
          <cell r="F124">
            <v>10</v>
          </cell>
          <cell r="G124">
            <v>0.1</v>
          </cell>
          <cell r="H124">
            <v>45612</v>
          </cell>
          <cell r="I124">
            <v>410.9</v>
          </cell>
        </row>
        <row r="125">
          <cell r="A125" t="str">
            <v>CUST019</v>
          </cell>
          <cell r="B125" t="str">
            <v>James Taylor</v>
          </cell>
          <cell r="C125" t="str">
            <v>South</v>
          </cell>
          <cell r="D125" t="str">
            <v>Electronics</v>
          </cell>
          <cell r="E125">
            <v>718.04</v>
          </cell>
          <cell r="F125">
            <v>14</v>
          </cell>
          <cell r="G125">
            <v>0</v>
          </cell>
          <cell r="H125">
            <v>45613</v>
          </cell>
          <cell r="I125">
            <v>179.51</v>
          </cell>
        </row>
        <row r="126">
          <cell r="A126" t="str">
            <v>CUST004</v>
          </cell>
          <cell r="B126" t="str">
            <v>James Taylor</v>
          </cell>
          <cell r="C126" t="str">
            <v>Central</v>
          </cell>
          <cell r="D126" t="str">
            <v>Clothing</v>
          </cell>
          <cell r="E126">
            <v>1277.8499999999999</v>
          </cell>
          <cell r="F126">
            <v>18</v>
          </cell>
          <cell r="G126">
            <v>0.2</v>
          </cell>
          <cell r="H126">
            <v>45613</v>
          </cell>
          <cell r="I126">
            <v>511.14</v>
          </cell>
        </row>
        <row r="127">
          <cell r="A127" t="str">
            <v>CUST024</v>
          </cell>
          <cell r="B127" t="str">
            <v>James Wilson</v>
          </cell>
          <cell r="C127" t="str">
            <v>North</v>
          </cell>
          <cell r="D127" t="str">
            <v>Electronics</v>
          </cell>
          <cell r="E127">
            <v>706.73</v>
          </cell>
          <cell r="F127">
            <v>1</v>
          </cell>
          <cell r="G127">
            <v>0.15</v>
          </cell>
          <cell r="H127">
            <v>45613</v>
          </cell>
          <cell r="I127">
            <v>150.18</v>
          </cell>
        </row>
        <row r="128">
          <cell r="A128" t="str">
            <v>CUST002</v>
          </cell>
          <cell r="B128" t="str">
            <v>Linda Brown</v>
          </cell>
          <cell r="C128" t="str">
            <v>East</v>
          </cell>
          <cell r="D128" t="str">
            <v>Electronics</v>
          </cell>
          <cell r="E128">
            <v>1410.59</v>
          </cell>
          <cell r="F128">
            <v>15</v>
          </cell>
          <cell r="G128">
            <v>0</v>
          </cell>
          <cell r="H128">
            <v>45615</v>
          </cell>
          <cell r="I128">
            <v>352.65</v>
          </cell>
        </row>
        <row r="129">
          <cell r="A129" t="str">
            <v>CUST009</v>
          </cell>
          <cell r="B129" t="str">
            <v>Emma Wilson</v>
          </cell>
          <cell r="C129" t="str">
            <v>South</v>
          </cell>
          <cell r="D129" t="str">
            <v>Furniture</v>
          </cell>
          <cell r="E129">
            <v>1350.33</v>
          </cell>
          <cell r="F129">
            <v>10</v>
          </cell>
          <cell r="G129">
            <v>0</v>
          </cell>
          <cell r="H129">
            <v>45615</v>
          </cell>
          <cell r="I129">
            <v>472.62</v>
          </cell>
        </row>
        <row r="130">
          <cell r="A130" t="str">
            <v>CUST029</v>
          </cell>
          <cell r="B130" t="str">
            <v>Lisa Thomas</v>
          </cell>
          <cell r="C130" t="str">
            <v>East</v>
          </cell>
          <cell r="D130" t="str">
            <v>Electronics</v>
          </cell>
          <cell r="E130">
            <v>919.18</v>
          </cell>
          <cell r="F130">
            <v>4</v>
          </cell>
          <cell r="G130">
            <v>0.15</v>
          </cell>
          <cell r="H130">
            <v>45615</v>
          </cell>
          <cell r="I130">
            <v>195.33</v>
          </cell>
        </row>
        <row r="131">
          <cell r="A131" t="str">
            <v>CUST027</v>
          </cell>
          <cell r="B131" t="str">
            <v>James Wilson</v>
          </cell>
          <cell r="C131" t="str">
            <v>West</v>
          </cell>
          <cell r="D131" t="str">
            <v>Electronics</v>
          </cell>
          <cell r="E131">
            <v>258.51</v>
          </cell>
          <cell r="F131">
            <v>19</v>
          </cell>
          <cell r="G131">
            <v>0</v>
          </cell>
          <cell r="H131">
            <v>45616</v>
          </cell>
          <cell r="I131">
            <v>64.63</v>
          </cell>
        </row>
        <row r="132">
          <cell r="A132" t="str">
            <v>CUST011</v>
          </cell>
          <cell r="B132" t="str">
            <v>Emma Wilson</v>
          </cell>
          <cell r="C132" t="str">
            <v>East</v>
          </cell>
          <cell r="D132" t="str">
            <v>Books</v>
          </cell>
          <cell r="E132">
            <v>1213.48</v>
          </cell>
          <cell r="F132">
            <v>5</v>
          </cell>
          <cell r="G132">
            <v>0.05</v>
          </cell>
          <cell r="H132">
            <v>45616</v>
          </cell>
          <cell r="I132">
            <v>461.12</v>
          </cell>
        </row>
        <row r="133">
          <cell r="A133" t="str">
            <v>CUST021</v>
          </cell>
          <cell r="B133" t="str">
            <v>Emma Davis</v>
          </cell>
          <cell r="C133" t="str">
            <v>Central</v>
          </cell>
          <cell r="D133" t="str">
            <v>Books</v>
          </cell>
          <cell r="E133">
            <v>1150.28</v>
          </cell>
          <cell r="F133">
            <v>8</v>
          </cell>
          <cell r="G133">
            <v>0.05</v>
          </cell>
          <cell r="H133">
            <v>45622</v>
          </cell>
          <cell r="I133">
            <v>437.11</v>
          </cell>
        </row>
        <row r="134">
          <cell r="A134" t="str">
            <v>CUST014</v>
          </cell>
          <cell r="B134" t="str">
            <v>David Anderson</v>
          </cell>
          <cell r="C134" t="str">
            <v>South</v>
          </cell>
          <cell r="D134" t="str">
            <v>Furniture</v>
          </cell>
          <cell r="E134">
            <v>853.86</v>
          </cell>
          <cell r="F134">
            <v>8</v>
          </cell>
          <cell r="G134">
            <v>0.1</v>
          </cell>
          <cell r="H134">
            <v>45622</v>
          </cell>
          <cell r="I134">
            <v>268.97000000000003</v>
          </cell>
        </row>
        <row r="135">
          <cell r="A135" t="str">
            <v>CUST018</v>
          </cell>
          <cell r="B135" t="str">
            <v>Lisa Thomas</v>
          </cell>
          <cell r="C135" t="str">
            <v>South</v>
          </cell>
          <cell r="D135" t="str">
            <v>Electronics</v>
          </cell>
          <cell r="E135">
            <v>1061.04</v>
          </cell>
          <cell r="F135">
            <v>1</v>
          </cell>
          <cell r="G135">
            <v>0</v>
          </cell>
          <cell r="H135">
            <v>45624</v>
          </cell>
          <cell r="I135">
            <v>265.26</v>
          </cell>
        </row>
        <row r="136">
          <cell r="A136" t="str">
            <v>CUST001</v>
          </cell>
          <cell r="B136" t="str">
            <v>Sarah Anderson</v>
          </cell>
          <cell r="C136" t="str">
            <v>West</v>
          </cell>
          <cell r="D136" t="str">
            <v>Electronics</v>
          </cell>
          <cell r="E136">
            <v>894.55</v>
          </cell>
          <cell r="F136">
            <v>19</v>
          </cell>
          <cell r="G136">
            <v>0.2</v>
          </cell>
          <cell r="H136">
            <v>45625</v>
          </cell>
          <cell r="I136">
            <v>178.91</v>
          </cell>
        </row>
        <row r="137">
          <cell r="A137" t="str">
            <v>CUST007</v>
          </cell>
          <cell r="B137" t="str">
            <v>Emma Davis</v>
          </cell>
          <cell r="C137" t="str">
            <v>North</v>
          </cell>
          <cell r="D137" t="str">
            <v>Office Supplies</v>
          </cell>
          <cell r="E137">
            <v>833.91</v>
          </cell>
          <cell r="F137">
            <v>3</v>
          </cell>
          <cell r="G137">
            <v>0.05</v>
          </cell>
          <cell r="H137">
            <v>45626</v>
          </cell>
          <cell r="I137">
            <v>356.5</v>
          </cell>
        </row>
        <row r="138">
          <cell r="A138" t="str">
            <v>CUST015</v>
          </cell>
          <cell r="B138" t="str">
            <v>David Anderson</v>
          </cell>
          <cell r="C138" t="str">
            <v>West</v>
          </cell>
          <cell r="D138" t="str">
            <v>Furniture</v>
          </cell>
          <cell r="E138">
            <v>820.19</v>
          </cell>
          <cell r="F138">
            <v>4</v>
          </cell>
          <cell r="G138">
            <v>0.2</v>
          </cell>
          <cell r="H138">
            <v>45630</v>
          </cell>
          <cell r="I138">
            <v>229.65</v>
          </cell>
        </row>
        <row r="139">
          <cell r="A139" t="str">
            <v>CUST015</v>
          </cell>
          <cell r="B139" t="str">
            <v>Emma Davis</v>
          </cell>
          <cell r="C139" t="str">
            <v>Central</v>
          </cell>
          <cell r="D139" t="str">
            <v>Electronics</v>
          </cell>
          <cell r="E139">
            <v>511.74</v>
          </cell>
          <cell r="F139">
            <v>8</v>
          </cell>
          <cell r="G139">
            <v>0.05</v>
          </cell>
          <cell r="H139">
            <v>45631</v>
          </cell>
          <cell r="I139">
            <v>121.54</v>
          </cell>
        </row>
        <row r="140">
          <cell r="A140" t="str">
            <v>CUST002</v>
          </cell>
          <cell r="B140" t="str">
            <v>Emma Wilson</v>
          </cell>
          <cell r="C140" t="str">
            <v>South</v>
          </cell>
          <cell r="D140" t="str">
            <v>Furniture</v>
          </cell>
          <cell r="E140">
            <v>806.03</v>
          </cell>
          <cell r="F140">
            <v>19</v>
          </cell>
          <cell r="G140">
            <v>0.05</v>
          </cell>
          <cell r="H140">
            <v>45638</v>
          </cell>
          <cell r="I140">
            <v>268</v>
          </cell>
        </row>
        <row r="141">
          <cell r="A141" t="str">
            <v>CUST001</v>
          </cell>
          <cell r="B141" t="str">
            <v>Michael Anderson</v>
          </cell>
          <cell r="C141" t="str">
            <v>Central</v>
          </cell>
          <cell r="D141" t="str">
            <v>Furniture</v>
          </cell>
          <cell r="E141">
            <v>1432.47</v>
          </cell>
          <cell r="F141">
            <v>16</v>
          </cell>
          <cell r="G141">
            <v>0.15</v>
          </cell>
          <cell r="H141">
            <v>45640</v>
          </cell>
          <cell r="I141">
            <v>426.16</v>
          </cell>
        </row>
        <row r="142">
          <cell r="A142" t="str">
            <v>CUST027</v>
          </cell>
          <cell r="B142" t="str">
            <v>Linda Wilson</v>
          </cell>
          <cell r="C142" t="str">
            <v>Central</v>
          </cell>
          <cell r="D142" t="str">
            <v>Electronics</v>
          </cell>
          <cell r="E142">
            <v>1488.58</v>
          </cell>
          <cell r="F142">
            <v>10</v>
          </cell>
          <cell r="G142">
            <v>0.15</v>
          </cell>
          <cell r="H142">
            <v>45640</v>
          </cell>
          <cell r="I142">
            <v>316.32</v>
          </cell>
        </row>
        <row r="143">
          <cell r="A143" t="str">
            <v>CUST026</v>
          </cell>
          <cell r="B143" t="str">
            <v>Emma Taylor</v>
          </cell>
          <cell r="C143" t="str">
            <v>East</v>
          </cell>
          <cell r="D143" t="str">
            <v>Books</v>
          </cell>
          <cell r="E143">
            <v>1231.26</v>
          </cell>
          <cell r="F143">
            <v>9</v>
          </cell>
          <cell r="G143">
            <v>0</v>
          </cell>
          <cell r="H143">
            <v>45646</v>
          </cell>
          <cell r="I143">
            <v>492.5</v>
          </cell>
        </row>
        <row r="144">
          <cell r="A144" t="str">
            <v>CUST026</v>
          </cell>
          <cell r="B144" t="str">
            <v>Sarah Anderson</v>
          </cell>
          <cell r="C144" t="str">
            <v>West</v>
          </cell>
          <cell r="D144" t="str">
            <v>Electronics</v>
          </cell>
          <cell r="E144">
            <v>1161.67</v>
          </cell>
          <cell r="F144">
            <v>19</v>
          </cell>
          <cell r="G144">
            <v>0.2</v>
          </cell>
          <cell r="H144">
            <v>45647</v>
          </cell>
          <cell r="I144">
            <v>232.33</v>
          </cell>
        </row>
        <row r="145">
          <cell r="A145" t="str">
            <v>CUST022</v>
          </cell>
          <cell r="B145" t="str">
            <v>Lisa Thomas</v>
          </cell>
          <cell r="C145" t="str">
            <v>Central</v>
          </cell>
          <cell r="D145" t="str">
            <v>Office Supplies</v>
          </cell>
          <cell r="E145">
            <v>388.23</v>
          </cell>
          <cell r="F145">
            <v>16</v>
          </cell>
          <cell r="G145">
            <v>0.05</v>
          </cell>
          <cell r="H145">
            <v>45650</v>
          </cell>
          <cell r="I145">
            <v>165.97</v>
          </cell>
        </row>
        <row r="146">
          <cell r="A146" t="str">
            <v>CUST004</v>
          </cell>
          <cell r="B146" t="str">
            <v>Mary Davis</v>
          </cell>
          <cell r="C146" t="str">
            <v>North</v>
          </cell>
          <cell r="D146" t="str">
            <v>Clothing</v>
          </cell>
          <cell r="E146">
            <v>1589.42</v>
          </cell>
          <cell r="F146">
            <v>6</v>
          </cell>
          <cell r="G146">
            <v>0.15</v>
          </cell>
          <cell r="H146">
            <v>45651</v>
          </cell>
          <cell r="I146">
            <v>675.5</v>
          </cell>
        </row>
        <row r="147">
          <cell r="A147" t="str">
            <v>CUST001</v>
          </cell>
          <cell r="B147" t="str">
            <v>David Anderson</v>
          </cell>
          <cell r="C147" t="str">
            <v>North</v>
          </cell>
          <cell r="D147" t="str">
            <v>Clothing</v>
          </cell>
          <cell r="E147">
            <v>336.66</v>
          </cell>
          <cell r="F147">
            <v>13</v>
          </cell>
          <cell r="G147">
            <v>0.2</v>
          </cell>
          <cell r="H147">
            <v>45651</v>
          </cell>
          <cell r="I147">
            <v>134.66</v>
          </cell>
        </row>
        <row r="148">
          <cell r="A148" t="str">
            <v>CUST022</v>
          </cell>
          <cell r="B148" t="str">
            <v>James Wilson</v>
          </cell>
          <cell r="C148" t="str">
            <v>West</v>
          </cell>
          <cell r="D148" t="str">
            <v>Books</v>
          </cell>
          <cell r="E148">
            <v>1353.79</v>
          </cell>
          <cell r="F148">
            <v>14</v>
          </cell>
          <cell r="G148">
            <v>0.1</v>
          </cell>
          <cell r="H148">
            <v>45656</v>
          </cell>
          <cell r="I148">
            <v>487.36</v>
          </cell>
        </row>
        <row r="149">
          <cell r="A149" t="str">
            <v>CUST011</v>
          </cell>
          <cell r="B149" t="str">
            <v>Linda Moore</v>
          </cell>
          <cell r="C149" t="str">
            <v>Central</v>
          </cell>
          <cell r="D149" t="str">
            <v>Clothing</v>
          </cell>
          <cell r="E149">
            <v>662.61</v>
          </cell>
          <cell r="F149">
            <v>11</v>
          </cell>
          <cell r="G149">
            <v>0.05</v>
          </cell>
          <cell r="H149">
            <v>45658</v>
          </cell>
          <cell r="I149">
            <v>314.74</v>
          </cell>
        </row>
        <row r="150">
          <cell r="A150" t="str">
            <v>CUST028</v>
          </cell>
          <cell r="B150" t="str">
            <v>Lisa Davis</v>
          </cell>
          <cell r="C150" t="str">
            <v>North</v>
          </cell>
          <cell r="D150" t="str">
            <v>Office Supplies</v>
          </cell>
          <cell r="E150">
            <v>309.42</v>
          </cell>
          <cell r="F150">
            <v>1</v>
          </cell>
          <cell r="G150">
            <v>0.2</v>
          </cell>
          <cell r="H150">
            <v>45658</v>
          </cell>
          <cell r="I150">
            <v>111.39</v>
          </cell>
        </row>
        <row r="151">
          <cell r="A151" t="str">
            <v>CUST011</v>
          </cell>
          <cell r="B151" t="str">
            <v>Linda Wilson</v>
          </cell>
          <cell r="C151" t="str">
            <v>North</v>
          </cell>
          <cell r="D151" t="str">
            <v>Books</v>
          </cell>
          <cell r="E151">
            <v>884.63</v>
          </cell>
          <cell r="F151">
            <v>18</v>
          </cell>
          <cell r="G151">
            <v>0.1</v>
          </cell>
          <cell r="H151">
            <v>45659</v>
          </cell>
          <cell r="I151">
            <v>318.47000000000003</v>
          </cell>
        </row>
        <row r="152">
          <cell r="A152" t="str">
            <v>CUST028</v>
          </cell>
          <cell r="B152" t="str">
            <v>James Wilson</v>
          </cell>
          <cell r="C152" t="str">
            <v>Central</v>
          </cell>
          <cell r="D152" t="str">
            <v>Office Supplies</v>
          </cell>
          <cell r="E152">
            <v>745.05</v>
          </cell>
          <cell r="F152">
            <v>10</v>
          </cell>
          <cell r="G152">
            <v>0.1</v>
          </cell>
          <cell r="H152">
            <v>45660</v>
          </cell>
          <cell r="I152">
            <v>301.75</v>
          </cell>
        </row>
        <row r="153">
          <cell r="A153" t="str">
            <v>CUST016</v>
          </cell>
          <cell r="B153" t="str">
            <v>James Taylor</v>
          </cell>
          <cell r="C153" t="str">
            <v>South</v>
          </cell>
          <cell r="D153" t="str">
            <v>Clothing</v>
          </cell>
          <cell r="E153">
            <v>870.23</v>
          </cell>
          <cell r="F153">
            <v>5</v>
          </cell>
          <cell r="G153">
            <v>0.05</v>
          </cell>
          <cell r="H153">
            <v>45660</v>
          </cell>
          <cell r="I153">
            <v>413.36</v>
          </cell>
        </row>
        <row r="154">
          <cell r="A154" t="str">
            <v>CUST010</v>
          </cell>
          <cell r="B154" t="str">
            <v>Linda Wilson</v>
          </cell>
          <cell r="C154" t="str">
            <v>West</v>
          </cell>
          <cell r="D154" t="str">
            <v>Furniture</v>
          </cell>
          <cell r="E154">
            <v>862.19</v>
          </cell>
          <cell r="F154">
            <v>18</v>
          </cell>
          <cell r="G154">
            <v>0.05</v>
          </cell>
          <cell r="H154">
            <v>45663</v>
          </cell>
          <cell r="I154">
            <v>286.68</v>
          </cell>
        </row>
        <row r="155">
          <cell r="A155" t="str">
            <v>CUST013</v>
          </cell>
          <cell r="B155" t="str">
            <v>Mary Wilson</v>
          </cell>
          <cell r="C155" t="str">
            <v>North</v>
          </cell>
          <cell r="D155" t="str">
            <v>Clothing</v>
          </cell>
          <cell r="E155">
            <v>1171.18</v>
          </cell>
          <cell r="F155">
            <v>19</v>
          </cell>
          <cell r="G155">
            <v>0.05</v>
          </cell>
          <cell r="H155">
            <v>45667</v>
          </cell>
          <cell r="I155">
            <v>556.30999999999995</v>
          </cell>
        </row>
        <row r="156">
          <cell r="A156" t="str">
            <v>CUST015</v>
          </cell>
          <cell r="B156" t="str">
            <v>Robert Anderson</v>
          </cell>
          <cell r="C156" t="str">
            <v>South</v>
          </cell>
          <cell r="D156" t="str">
            <v>Furniture</v>
          </cell>
          <cell r="E156">
            <v>1054.56</v>
          </cell>
          <cell r="F156">
            <v>11</v>
          </cell>
          <cell r="G156">
            <v>0.1</v>
          </cell>
          <cell r="H156">
            <v>45669</v>
          </cell>
          <cell r="I156">
            <v>332.19</v>
          </cell>
        </row>
        <row r="157">
          <cell r="A157" t="str">
            <v>CUST015</v>
          </cell>
          <cell r="B157" t="str">
            <v>James Wilson</v>
          </cell>
          <cell r="C157" t="str">
            <v>North</v>
          </cell>
          <cell r="D157" t="str">
            <v>Electronics</v>
          </cell>
          <cell r="E157">
            <v>1681.21</v>
          </cell>
          <cell r="F157">
            <v>5</v>
          </cell>
          <cell r="G157">
            <v>0.2</v>
          </cell>
          <cell r="H157">
            <v>45670</v>
          </cell>
          <cell r="I157">
            <v>336.24</v>
          </cell>
        </row>
        <row r="158">
          <cell r="A158" t="str">
            <v>CUST015</v>
          </cell>
          <cell r="B158" t="str">
            <v>David Thomas</v>
          </cell>
          <cell r="C158" t="str">
            <v>West</v>
          </cell>
          <cell r="D158" t="str">
            <v>Clothing</v>
          </cell>
          <cell r="E158">
            <v>379.77</v>
          </cell>
          <cell r="F158">
            <v>9</v>
          </cell>
          <cell r="G158">
            <v>0.05</v>
          </cell>
          <cell r="H158">
            <v>45673</v>
          </cell>
          <cell r="I158">
            <v>180.39</v>
          </cell>
        </row>
        <row r="159">
          <cell r="A159" t="str">
            <v>CUST008</v>
          </cell>
          <cell r="B159" t="str">
            <v>Lisa Thomas</v>
          </cell>
          <cell r="C159" t="str">
            <v>Central</v>
          </cell>
          <cell r="D159" t="str">
            <v>Clothing</v>
          </cell>
          <cell r="E159">
            <v>1076.33</v>
          </cell>
          <cell r="F159">
            <v>2</v>
          </cell>
          <cell r="G159">
            <v>0.1</v>
          </cell>
          <cell r="H159">
            <v>45674</v>
          </cell>
          <cell r="I159">
            <v>484.35</v>
          </cell>
        </row>
        <row r="160">
          <cell r="A160" t="str">
            <v>CUST008</v>
          </cell>
          <cell r="B160" t="str">
            <v>Mary Davis</v>
          </cell>
          <cell r="C160" t="str">
            <v>Central</v>
          </cell>
          <cell r="D160" t="str">
            <v>Office Supplies</v>
          </cell>
          <cell r="E160">
            <v>1250.71</v>
          </cell>
          <cell r="F160">
            <v>7</v>
          </cell>
          <cell r="G160">
            <v>0</v>
          </cell>
          <cell r="H160">
            <v>45674</v>
          </cell>
          <cell r="I160">
            <v>562.82000000000005</v>
          </cell>
        </row>
        <row r="161">
          <cell r="A161" t="str">
            <v>CUST023</v>
          </cell>
          <cell r="B161" t="str">
            <v>James Taylor</v>
          </cell>
          <cell r="C161" t="str">
            <v>South</v>
          </cell>
          <cell r="D161" t="str">
            <v>Clothing</v>
          </cell>
          <cell r="E161">
            <v>1118.3399999999999</v>
          </cell>
          <cell r="F161">
            <v>6</v>
          </cell>
          <cell r="G161">
            <v>0.2</v>
          </cell>
          <cell r="H161">
            <v>45674</v>
          </cell>
          <cell r="I161">
            <v>447.34</v>
          </cell>
        </row>
        <row r="162">
          <cell r="A162" t="str">
            <v>CUST024</v>
          </cell>
          <cell r="B162" t="str">
            <v>Linda Taylor</v>
          </cell>
          <cell r="C162" t="str">
            <v>North</v>
          </cell>
          <cell r="D162" t="str">
            <v>Clothing</v>
          </cell>
          <cell r="E162">
            <v>1622.62</v>
          </cell>
          <cell r="F162">
            <v>12</v>
          </cell>
          <cell r="G162">
            <v>0.2</v>
          </cell>
          <cell r="H162">
            <v>45677</v>
          </cell>
          <cell r="I162">
            <v>649.04999999999995</v>
          </cell>
        </row>
        <row r="163">
          <cell r="A163" t="str">
            <v>CUST018</v>
          </cell>
          <cell r="B163" t="str">
            <v>Lisa Davis</v>
          </cell>
          <cell r="C163" t="str">
            <v>North</v>
          </cell>
          <cell r="D163" t="str">
            <v>Books</v>
          </cell>
          <cell r="E163">
            <v>640.64</v>
          </cell>
          <cell r="F163">
            <v>11</v>
          </cell>
          <cell r="G163">
            <v>0.2</v>
          </cell>
          <cell r="H163">
            <v>45678</v>
          </cell>
          <cell r="I163">
            <v>205</v>
          </cell>
        </row>
        <row r="164">
          <cell r="A164" t="str">
            <v>CUST030</v>
          </cell>
          <cell r="B164" t="str">
            <v>Sarah Anderson</v>
          </cell>
          <cell r="C164" t="str">
            <v>West</v>
          </cell>
          <cell r="D164" t="str">
            <v>Clothing</v>
          </cell>
          <cell r="E164">
            <v>585.16</v>
          </cell>
          <cell r="F164">
            <v>17</v>
          </cell>
          <cell r="G164">
            <v>0.1</v>
          </cell>
          <cell r="H164">
            <v>45684</v>
          </cell>
          <cell r="I164">
            <v>263.32</v>
          </cell>
        </row>
        <row r="165">
          <cell r="A165" t="str">
            <v>CUST030</v>
          </cell>
          <cell r="B165" t="str">
            <v>Mary Davis</v>
          </cell>
          <cell r="C165" t="str">
            <v>East</v>
          </cell>
          <cell r="D165" t="str">
            <v>Clothing</v>
          </cell>
          <cell r="E165">
            <v>1109.98</v>
          </cell>
          <cell r="F165">
            <v>5</v>
          </cell>
          <cell r="G165">
            <v>0.2</v>
          </cell>
          <cell r="H165">
            <v>45690</v>
          </cell>
          <cell r="I165">
            <v>443.99</v>
          </cell>
        </row>
        <row r="166">
          <cell r="A166" t="str">
            <v>CUST015</v>
          </cell>
          <cell r="B166" t="str">
            <v>Lisa Thomas</v>
          </cell>
          <cell r="C166" t="str">
            <v>East</v>
          </cell>
          <cell r="D166" t="str">
            <v>Books</v>
          </cell>
          <cell r="E166">
            <v>1098.08</v>
          </cell>
          <cell r="F166">
            <v>9</v>
          </cell>
          <cell r="G166">
            <v>0.1</v>
          </cell>
          <cell r="H166">
            <v>45692</v>
          </cell>
          <cell r="I166">
            <v>395.31</v>
          </cell>
        </row>
        <row r="167">
          <cell r="A167" t="str">
            <v>CUST002</v>
          </cell>
          <cell r="B167" t="str">
            <v>Lisa Davis</v>
          </cell>
          <cell r="C167" t="str">
            <v>West</v>
          </cell>
          <cell r="D167" t="str">
            <v>Office Supplies</v>
          </cell>
          <cell r="E167">
            <v>827.25</v>
          </cell>
          <cell r="F167">
            <v>7</v>
          </cell>
          <cell r="G167">
            <v>0.1</v>
          </cell>
          <cell r="H167">
            <v>45693</v>
          </cell>
          <cell r="I167">
            <v>335.04</v>
          </cell>
        </row>
        <row r="168">
          <cell r="A168" t="str">
            <v>CUST024</v>
          </cell>
          <cell r="B168" t="str">
            <v>Linda Wilson</v>
          </cell>
          <cell r="C168" t="str">
            <v>Central</v>
          </cell>
          <cell r="D168" t="str">
            <v>Clothing</v>
          </cell>
          <cell r="E168">
            <v>741.88</v>
          </cell>
          <cell r="F168">
            <v>16</v>
          </cell>
          <cell r="G168">
            <v>0.1</v>
          </cell>
          <cell r="H168">
            <v>45695</v>
          </cell>
          <cell r="I168">
            <v>333.85</v>
          </cell>
        </row>
        <row r="169">
          <cell r="A169" t="str">
            <v>CUST004</v>
          </cell>
          <cell r="B169" t="str">
            <v>James Davis</v>
          </cell>
          <cell r="C169" t="str">
            <v>East</v>
          </cell>
          <cell r="D169" t="str">
            <v>Office Supplies</v>
          </cell>
          <cell r="E169">
            <v>1311.26</v>
          </cell>
          <cell r="F169">
            <v>6</v>
          </cell>
          <cell r="G169">
            <v>0.1</v>
          </cell>
          <cell r="H169">
            <v>45698</v>
          </cell>
          <cell r="I169">
            <v>531.05999999999995</v>
          </cell>
        </row>
        <row r="170">
          <cell r="A170" t="str">
            <v>CUST004</v>
          </cell>
          <cell r="B170" t="str">
            <v>Mary Davis</v>
          </cell>
          <cell r="C170" t="str">
            <v>South</v>
          </cell>
          <cell r="D170" t="str">
            <v>Office Supplies</v>
          </cell>
          <cell r="E170">
            <v>573.32000000000005</v>
          </cell>
          <cell r="F170">
            <v>19</v>
          </cell>
          <cell r="G170">
            <v>0.1</v>
          </cell>
          <cell r="H170">
            <v>45703</v>
          </cell>
          <cell r="I170">
            <v>232.19</v>
          </cell>
        </row>
        <row r="171">
          <cell r="A171" t="str">
            <v>CUST028</v>
          </cell>
          <cell r="B171" t="str">
            <v>James Wilson</v>
          </cell>
          <cell r="C171" t="str">
            <v>West</v>
          </cell>
          <cell r="D171" t="str">
            <v>Electronics</v>
          </cell>
          <cell r="E171">
            <v>1115.22</v>
          </cell>
          <cell r="F171">
            <v>14</v>
          </cell>
          <cell r="G171">
            <v>0.2</v>
          </cell>
          <cell r="H171">
            <v>45705</v>
          </cell>
          <cell r="I171">
            <v>223.04</v>
          </cell>
        </row>
        <row r="172">
          <cell r="A172" t="str">
            <v>CUST012</v>
          </cell>
          <cell r="B172" t="str">
            <v>Lisa Thomas</v>
          </cell>
          <cell r="C172" t="str">
            <v>North</v>
          </cell>
          <cell r="D172" t="str">
            <v>Clothing</v>
          </cell>
          <cell r="E172">
            <v>845.84</v>
          </cell>
          <cell r="F172">
            <v>4</v>
          </cell>
          <cell r="G172">
            <v>0</v>
          </cell>
          <cell r="H172">
            <v>45707</v>
          </cell>
          <cell r="I172">
            <v>422.92</v>
          </cell>
        </row>
        <row r="173">
          <cell r="A173" t="str">
            <v>CUST026</v>
          </cell>
          <cell r="B173" t="str">
            <v>David Brown</v>
          </cell>
          <cell r="C173" t="str">
            <v>West</v>
          </cell>
          <cell r="D173" t="str">
            <v>Electronics</v>
          </cell>
          <cell r="E173">
            <v>1029.8</v>
          </cell>
          <cell r="F173">
            <v>3</v>
          </cell>
          <cell r="G173">
            <v>0</v>
          </cell>
          <cell r="H173">
            <v>45708</v>
          </cell>
          <cell r="I173">
            <v>257.45</v>
          </cell>
        </row>
        <row r="174">
          <cell r="A174" t="str">
            <v>CUST009</v>
          </cell>
          <cell r="B174" t="str">
            <v>Mary Davis</v>
          </cell>
          <cell r="C174" t="str">
            <v>North</v>
          </cell>
          <cell r="D174" t="str">
            <v>Books</v>
          </cell>
          <cell r="E174">
            <v>1189.83</v>
          </cell>
          <cell r="F174">
            <v>2</v>
          </cell>
          <cell r="G174">
            <v>0.2</v>
          </cell>
          <cell r="H174">
            <v>45709</v>
          </cell>
          <cell r="I174">
            <v>380.75</v>
          </cell>
        </row>
        <row r="175">
          <cell r="A175" t="str">
            <v>CUST003</v>
          </cell>
          <cell r="B175" t="str">
            <v>Sarah Anderson</v>
          </cell>
          <cell r="C175" t="str">
            <v>South</v>
          </cell>
          <cell r="D175" t="str">
            <v>Books</v>
          </cell>
          <cell r="E175">
            <v>704.28</v>
          </cell>
          <cell r="F175">
            <v>15</v>
          </cell>
          <cell r="G175">
            <v>0.2</v>
          </cell>
          <cell r="H175">
            <v>45712</v>
          </cell>
          <cell r="I175">
            <v>225.37</v>
          </cell>
        </row>
        <row r="176">
          <cell r="A176" t="str">
            <v>CUST002</v>
          </cell>
          <cell r="B176" t="str">
            <v>Mary Jackson</v>
          </cell>
          <cell r="C176" t="str">
            <v>Central</v>
          </cell>
          <cell r="D176" t="str">
            <v>Office Supplies</v>
          </cell>
          <cell r="E176">
            <v>1618.22</v>
          </cell>
          <cell r="F176">
            <v>12</v>
          </cell>
          <cell r="G176">
            <v>0.2</v>
          </cell>
          <cell r="H176">
            <v>45712</v>
          </cell>
          <cell r="I176">
            <v>582.55999999999995</v>
          </cell>
        </row>
        <row r="177">
          <cell r="A177" t="str">
            <v>CUST013</v>
          </cell>
          <cell r="B177" t="str">
            <v>Linda Taylor</v>
          </cell>
          <cell r="C177" t="str">
            <v>Central</v>
          </cell>
          <cell r="D177" t="str">
            <v>Books</v>
          </cell>
          <cell r="E177">
            <v>1014.43</v>
          </cell>
          <cell r="F177">
            <v>2</v>
          </cell>
          <cell r="G177">
            <v>0.15</v>
          </cell>
          <cell r="H177">
            <v>45713</v>
          </cell>
          <cell r="I177">
            <v>344.91</v>
          </cell>
        </row>
        <row r="178">
          <cell r="A178" t="str">
            <v>CUST018</v>
          </cell>
          <cell r="B178" t="str">
            <v>Mary Davis</v>
          </cell>
          <cell r="C178" t="str">
            <v>Central</v>
          </cell>
          <cell r="D178" t="str">
            <v>Clothing</v>
          </cell>
          <cell r="E178">
            <v>826.97</v>
          </cell>
          <cell r="F178">
            <v>18</v>
          </cell>
          <cell r="G178">
            <v>0.2</v>
          </cell>
          <cell r="H178">
            <v>45715</v>
          </cell>
          <cell r="I178">
            <v>330.79</v>
          </cell>
        </row>
        <row r="179">
          <cell r="A179" t="str">
            <v>CUST017</v>
          </cell>
          <cell r="B179" t="str">
            <v>Mary Davis</v>
          </cell>
          <cell r="C179" t="str">
            <v>Central</v>
          </cell>
          <cell r="D179" t="str">
            <v>Clothing</v>
          </cell>
          <cell r="E179">
            <v>1022.23</v>
          </cell>
          <cell r="F179">
            <v>8</v>
          </cell>
          <cell r="G179">
            <v>0.1</v>
          </cell>
          <cell r="H179">
            <v>45717</v>
          </cell>
          <cell r="I179">
            <v>460</v>
          </cell>
        </row>
        <row r="180">
          <cell r="A180" t="str">
            <v>CUST004</v>
          </cell>
          <cell r="B180" t="str">
            <v>Linda Wilson</v>
          </cell>
          <cell r="C180" t="str">
            <v>East</v>
          </cell>
          <cell r="D180" t="str">
            <v>Books</v>
          </cell>
          <cell r="E180">
            <v>1099.69</v>
          </cell>
          <cell r="F180">
            <v>6</v>
          </cell>
          <cell r="G180">
            <v>0</v>
          </cell>
          <cell r="H180">
            <v>45718</v>
          </cell>
          <cell r="I180">
            <v>439.88</v>
          </cell>
        </row>
        <row r="181">
          <cell r="A181" t="str">
            <v>CUST028</v>
          </cell>
          <cell r="B181" t="str">
            <v>Sarah Davis</v>
          </cell>
          <cell r="C181" t="str">
            <v>North</v>
          </cell>
          <cell r="D181" t="str">
            <v>Books</v>
          </cell>
          <cell r="E181">
            <v>710.52</v>
          </cell>
          <cell r="F181">
            <v>8</v>
          </cell>
          <cell r="G181">
            <v>0.1</v>
          </cell>
          <cell r="H181">
            <v>45721</v>
          </cell>
          <cell r="I181">
            <v>255.79</v>
          </cell>
        </row>
        <row r="182">
          <cell r="A182" t="str">
            <v>CUST028</v>
          </cell>
          <cell r="B182" t="str">
            <v>Mary Wilson</v>
          </cell>
          <cell r="C182" t="str">
            <v>North</v>
          </cell>
          <cell r="D182" t="str">
            <v>Books</v>
          </cell>
          <cell r="E182">
            <v>499.18</v>
          </cell>
          <cell r="F182">
            <v>15</v>
          </cell>
          <cell r="G182">
            <v>0.2</v>
          </cell>
          <cell r="H182">
            <v>45724</v>
          </cell>
          <cell r="I182">
            <v>159.74</v>
          </cell>
        </row>
        <row r="183">
          <cell r="A183" t="str">
            <v>CUST014</v>
          </cell>
          <cell r="B183" t="str">
            <v>Emma Davis</v>
          </cell>
          <cell r="C183" t="str">
            <v>South</v>
          </cell>
          <cell r="D183" t="str">
            <v>Books</v>
          </cell>
          <cell r="E183">
            <v>1064.19</v>
          </cell>
          <cell r="F183">
            <v>18</v>
          </cell>
          <cell r="G183">
            <v>0.05</v>
          </cell>
          <cell r="H183">
            <v>45725</v>
          </cell>
          <cell r="I183">
            <v>404.39</v>
          </cell>
        </row>
        <row r="184">
          <cell r="A184" t="str">
            <v>CUST003</v>
          </cell>
          <cell r="B184" t="str">
            <v>Emma Davis</v>
          </cell>
          <cell r="C184" t="str">
            <v>East</v>
          </cell>
          <cell r="D184" t="str">
            <v>Office Supplies</v>
          </cell>
          <cell r="E184">
            <v>438.76</v>
          </cell>
          <cell r="F184">
            <v>18</v>
          </cell>
          <cell r="G184">
            <v>0.05</v>
          </cell>
          <cell r="H184">
            <v>45726</v>
          </cell>
          <cell r="I184">
            <v>187.57</v>
          </cell>
        </row>
        <row r="185">
          <cell r="A185" t="str">
            <v>CUST029</v>
          </cell>
          <cell r="B185" t="str">
            <v>David Brown</v>
          </cell>
          <cell r="C185" t="str">
            <v>West</v>
          </cell>
          <cell r="D185" t="str">
            <v>Clothing</v>
          </cell>
          <cell r="E185">
            <v>864.98</v>
          </cell>
          <cell r="F185">
            <v>2</v>
          </cell>
          <cell r="G185">
            <v>0.05</v>
          </cell>
          <cell r="H185">
            <v>45727</v>
          </cell>
          <cell r="I185">
            <v>410.87</v>
          </cell>
        </row>
        <row r="186">
          <cell r="A186" t="str">
            <v>CUST021</v>
          </cell>
          <cell r="B186" t="str">
            <v>David Brown</v>
          </cell>
          <cell r="C186" t="str">
            <v>West</v>
          </cell>
          <cell r="D186" t="str">
            <v>Furniture</v>
          </cell>
          <cell r="E186">
            <v>984.93</v>
          </cell>
          <cell r="F186">
            <v>14</v>
          </cell>
          <cell r="G186">
            <v>0.2</v>
          </cell>
          <cell r="H186">
            <v>45733</v>
          </cell>
          <cell r="I186">
            <v>275.77999999999997</v>
          </cell>
        </row>
        <row r="187">
          <cell r="A187" t="str">
            <v>CUST007</v>
          </cell>
          <cell r="B187" t="str">
            <v>David Brown</v>
          </cell>
          <cell r="C187" t="str">
            <v>West</v>
          </cell>
          <cell r="D187" t="str">
            <v>Clothing</v>
          </cell>
          <cell r="E187">
            <v>1493.49</v>
          </cell>
          <cell r="F187">
            <v>18</v>
          </cell>
          <cell r="G187">
            <v>0</v>
          </cell>
          <cell r="H187">
            <v>45734</v>
          </cell>
          <cell r="I187">
            <v>746.74</v>
          </cell>
        </row>
        <row r="188">
          <cell r="A188" t="str">
            <v>CUST009</v>
          </cell>
          <cell r="B188" t="str">
            <v>Linda Taylor</v>
          </cell>
          <cell r="C188" t="str">
            <v>South</v>
          </cell>
          <cell r="D188" t="str">
            <v>Clothing</v>
          </cell>
          <cell r="E188">
            <v>689.43</v>
          </cell>
          <cell r="F188">
            <v>9</v>
          </cell>
          <cell r="G188">
            <v>0.1</v>
          </cell>
          <cell r="H188">
            <v>45736</v>
          </cell>
          <cell r="I188">
            <v>310.24</v>
          </cell>
        </row>
        <row r="189">
          <cell r="A189" t="str">
            <v>CUST023</v>
          </cell>
          <cell r="B189" t="str">
            <v>Mary Wilson</v>
          </cell>
          <cell r="C189" t="str">
            <v>South</v>
          </cell>
          <cell r="D189" t="str">
            <v>Clothing</v>
          </cell>
          <cell r="E189">
            <v>682.24</v>
          </cell>
          <cell r="F189">
            <v>1</v>
          </cell>
          <cell r="G189">
            <v>0</v>
          </cell>
          <cell r="H189">
            <v>45738</v>
          </cell>
          <cell r="I189">
            <v>341.12</v>
          </cell>
        </row>
        <row r="190">
          <cell r="A190" t="str">
            <v>CUST029</v>
          </cell>
          <cell r="B190" t="str">
            <v>Michael Anderson</v>
          </cell>
          <cell r="C190" t="str">
            <v>North</v>
          </cell>
          <cell r="D190" t="str">
            <v>Electronics</v>
          </cell>
          <cell r="E190">
            <v>458.54</v>
          </cell>
          <cell r="F190">
            <v>15</v>
          </cell>
          <cell r="G190">
            <v>0.2</v>
          </cell>
          <cell r="H190">
            <v>45741</v>
          </cell>
          <cell r="I190">
            <v>91.71</v>
          </cell>
        </row>
        <row r="191">
          <cell r="A191" t="str">
            <v>CUST009</v>
          </cell>
          <cell r="B191" t="str">
            <v>Michael Anderson</v>
          </cell>
          <cell r="C191" t="str">
            <v>South</v>
          </cell>
          <cell r="D191" t="str">
            <v>Furniture</v>
          </cell>
          <cell r="E191">
            <v>1184.25</v>
          </cell>
          <cell r="F191">
            <v>11</v>
          </cell>
          <cell r="G191">
            <v>0.2</v>
          </cell>
          <cell r="H191">
            <v>45742</v>
          </cell>
          <cell r="I191">
            <v>331.59</v>
          </cell>
        </row>
        <row r="192">
          <cell r="A192" t="str">
            <v>CUST007</v>
          </cell>
          <cell r="B192" t="str">
            <v>James Davis</v>
          </cell>
          <cell r="C192" t="str">
            <v>South</v>
          </cell>
          <cell r="D192" t="str">
            <v>Clothing</v>
          </cell>
          <cell r="E192">
            <v>762.14</v>
          </cell>
          <cell r="F192">
            <v>9</v>
          </cell>
          <cell r="G192">
            <v>0</v>
          </cell>
          <cell r="H192">
            <v>45743</v>
          </cell>
          <cell r="I192">
            <v>381.07</v>
          </cell>
        </row>
        <row r="193">
          <cell r="A193" t="str">
            <v>CUST030</v>
          </cell>
          <cell r="B193" t="str">
            <v>Linda Taylor</v>
          </cell>
          <cell r="C193" t="str">
            <v>North</v>
          </cell>
          <cell r="D193" t="str">
            <v>Books</v>
          </cell>
          <cell r="E193">
            <v>750.71</v>
          </cell>
          <cell r="F193">
            <v>10</v>
          </cell>
          <cell r="G193">
            <v>0.15</v>
          </cell>
          <cell r="H193">
            <v>45743</v>
          </cell>
          <cell r="I193">
            <v>255.24</v>
          </cell>
        </row>
        <row r="194">
          <cell r="A194" t="str">
            <v>CUST018</v>
          </cell>
          <cell r="B194" t="str">
            <v>David Anderson</v>
          </cell>
          <cell r="C194" t="str">
            <v>Central</v>
          </cell>
          <cell r="D194" t="str">
            <v>Clothing</v>
          </cell>
          <cell r="E194">
            <v>1456.94</v>
          </cell>
          <cell r="F194">
            <v>14</v>
          </cell>
          <cell r="G194">
            <v>0.05</v>
          </cell>
          <cell r="H194">
            <v>45745</v>
          </cell>
          <cell r="I194">
            <v>692.05</v>
          </cell>
        </row>
        <row r="195">
          <cell r="A195" t="str">
            <v>CUST008</v>
          </cell>
          <cell r="B195" t="str">
            <v>Emma Wilson</v>
          </cell>
          <cell r="C195" t="str">
            <v>East</v>
          </cell>
          <cell r="D195" t="str">
            <v>Furniture</v>
          </cell>
          <cell r="E195">
            <v>1093.3800000000001</v>
          </cell>
          <cell r="F195">
            <v>17</v>
          </cell>
          <cell r="G195">
            <v>0.1</v>
          </cell>
          <cell r="H195">
            <v>45745</v>
          </cell>
          <cell r="I195">
            <v>344.41</v>
          </cell>
        </row>
        <row r="196">
          <cell r="A196" t="str">
            <v>CUST014</v>
          </cell>
          <cell r="B196" t="str">
            <v>Sarah Anderson</v>
          </cell>
          <cell r="C196" t="str">
            <v>West</v>
          </cell>
          <cell r="D196" t="str">
            <v>Clothing</v>
          </cell>
          <cell r="E196">
            <v>934.27</v>
          </cell>
          <cell r="F196">
            <v>8</v>
          </cell>
          <cell r="G196">
            <v>0.15</v>
          </cell>
          <cell r="H196">
            <v>45746</v>
          </cell>
          <cell r="I196">
            <v>397.06</v>
          </cell>
        </row>
        <row r="197">
          <cell r="A197" t="str">
            <v>CUST024</v>
          </cell>
          <cell r="B197" t="str">
            <v>David Thomas</v>
          </cell>
          <cell r="C197" t="str">
            <v>Central</v>
          </cell>
          <cell r="D197" t="str">
            <v>Clothing</v>
          </cell>
          <cell r="E197">
            <v>1465.35</v>
          </cell>
          <cell r="F197">
            <v>8</v>
          </cell>
          <cell r="G197">
            <v>0.2</v>
          </cell>
          <cell r="H197">
            <v>45746</v>
          </cell>
          <cell r="I197">
            <v>586.14</v>
          </cell>
        </row>
        <row r="198">
          <cell r="A198" t="str">
            <v>CUST028</v>
          </cell>
          <cell r="B198" t="str">
            <v>Robert Anderson</v>
          </cell>
          <cell r="C198" t="str">
            <v>South</v>
          </cell>
          <cell r="D198" t="str">
            <v>Office Supplies</v>
          </cell>
          <cell r="E198">
            <v>740.8</v>
          </cell>
          <cell r="F198">
            <v>3</v>
          </cell>
          <cell r="G198">
            <v>0</v>
          </cell>
          <cell r="H198">
            <v>45749</v>
          </cell>
          <cell r="I198">
            <v>333.36</v>
          </cell>
        </row>
        <row r="199">
          <cell r="A199" t="str">
            <v>CUST015</v>
          </cell>
          <cell r="B199" t="str">
            <v>Sarah Anderson</v>
          </cell>
          <cell r="C199" t="str">
            <v>West</v>
          </cell>
          <cell r="D199" t="str">
            <v>Office Supplies</v>
          </cell>
          <cell r="E199">
            <v>545.44000000000005</v>
          </cell>
          <cell r="F199">
            <v>17</v>
          </cell>
          <cell r="G199">
            <v>0</v>
          </cell>
          <cell r="H199">
            <v>45752</v>
          </cell>
          <cell r="I199">
            <v>245.45</v>
          </cell>
        </row>
        <row r="200">
          <cell r="A200" t="str">
            <v>CUST010</v>
          </cell>
          <cell r="B200" t="str">
            <v>David Thomas</v>
          </cell>
          <cell r="C200" t="str">
            <v>East</v>
          </cell>
          <cell r="D200" t="str">
            <v>Books</v>
          </cell>
          <cell r="E200">
            <v>997.61</v>
          </cell>
          <cell r="F200">
            <v>8</v>
          </cell>
          <cell r="G200">
            <v>0.05</v>
          </cell>
          <cell r="H200">
            <v>45752</v>
          </cell>
          <cell r="I200">
            <v>379.09</v>
          </cell>
        </row>
        <row r="201">
          <cell r="A201" t="str">
            <v>CUST016</v>
          </cell>
          <cell r="B201" t="str">
            <v>David Thomas</v>
          </cell>
          <cell r="C201" t="str">
            <v>South</v>
          </cell>
          <cell r="D201" t="str">
            <v>Clothing</v>
          </cell>
          <cell r="E201">
            <v>928.32</v>
          </cell>
          <cell r="F201">
            <v>2</v>
          </cell>
          <cell r="G201">
            <v>0.05</v>
          </cell>
          <cell r="H201">
            <v>45754</v>
          </cell>
          <cell r="I201">
            <v>440.95</v>
          </cell>
        </row>
      </sheetData>
      <sheetData sheetId="2"/>
      <sheetData sheetId="3">
        <row r="2">
          <cell r="A2" t="str">
            <v>CUST019</v>
          </cell>
          <cell r="J2">
            <v>207.21799999999999</v>
          </cell>
          <cell r="K2">
            <v>828.87199999999996</v>
          </cell>
        </row>
        <row r="3">
          <cell r="A3" t="str">
            <v>CUST012</v>
          </cell>
          <cell r="J3">
            <v>220.256</v>
          </cell>
          <cell r="K3">
            <v>881.024</v>
          </cell>
        </row>
        <row r="4">
          <cell r="A4" t="str">
            <v>CUST017</v>
          </cell>
          <cell r="J4">
            <v>0</v>
          </cell>
          <cell r="K4">
            <v>713.34</v>
          </cell>
        </row>
        <row r="5">
          <cell r="A5" t="str">
            <v>CUST005</v>
          </cell>
          <cell r="J5">
            <v>114.13949999999998</v>
          </cell>
          <cell r="K5">
            <v>646.79049999999995</v>
          </cell>
        </row>
        <row r="6">
          <cell r="A6" t="str">
            <v>CUST030</v>
          </cell>
          <cell r="J6">
            <v>169.4</v>
          </cell>
          <cell r="K6">
            <v>677.6</v>
          </cell>
        </row>
        <row r="7">
          <cell r="A7" t="str">
            <v>CUST007</v>
          </cell>
          <cell r="J7">
            <v>96.564000000000007</v>
          </cell>
          <cell r="K7">
            <v>869.07600000000002</v>
          </cell>
        </row>
        <row r="8">
          <cell r="A8" t="str">
            <v>CUST001</v>
          </cell>
          <cell r="J8">
            <v>65.876500000000007</v>
          </cell>
          <cell r="K8">
            <v>1251.6534999999999</v>
          </cell>
        </row>
        <row r="9">
          <cell r="A9" t="str">
            <v>CUST026</v>
          </cell>
          <cell r="J9">
            <v>214.89400000000001</v>
          </cell>
          <cell r="K9">
            <v>859.57600000000002</v>
          </cell>
        </row>
        <row r="10">
          <cell r="A10" t="str">
            <v>CUST009</v>
          </cell>
          <cell r="J10">
            <v>25.077000000000002</v>
          </cell>
          <cell r="K10">
            <v>476.46300000000002</v>
          </cell>
        </row>
        <row r="11">
          <cell r="A11" t="str">
            <v>CUST010</v>
          </cell>
          <cell r="J11">
            <v>36.865499999999997</v>
          </cell>
          <cell r="K11">
            <v>700.44449999999995</v>
          </cell>
        </row>
        <row r="12">
          <cell r="A12" t="str">
            <v>CUST014</v>
          </cell>
          <cell r="J12">
            <v>78.641000000000005</v>
          </cell>
          <cell r="K12">
            <v>1494.1789999999999</v>
          </cell>
        </row>
        <row r="13">
          <cell r="A13" t="str">
            <v>CUST014</v>
          </cell>
          <cell r="J13">
            <v>201.46950000000001</v>
          </cell>
          <cell r="K13">
            <v>1141.6605000000002</v>
          </cell>
        </row>
        <row r="14">
          <cell r="A14" t="str">
            <v>CUST007</v>
          </cell>
          <cell r="J14">
            <v>59.579000000000001</v>
          </cell>
          <cell r="K14">
            <v>1132.001</v>
          </cell>
        </row>
        <row r="15">
          <cell r="A15" t="str">
            <v>CUST023</v>
          </cell>
          <cell r="J15">
            <v>41.114000000000004</v>
          </cell>
          <cell r="K15">
            <v>781.16599999999994</v>
          </cell>
        </row>
        <row r="16">
          <cell r="A16" t="str">
            <v>CUST029</v>
          </cell>
          <cell r="J16">
            <v>78.250499999999988</v>
          </cell>
          <cell r="K16">
            <v>443.41949999999997</v>
          </cell>
        </row>
        <row r="17">
          <cell r="A17" t="str">
            <v>CUST005</v>
          </cell>
          <cell r="J17">
            <v>300.58600000000001</v>
          </cell>
          <cell r="K17">
            <v>1202.3440000000001</v>
          </cell>
        </row>
        <row r="18">
          <cell r="A18" t="str">
            <v>CUST008</v>
          </cell>
          <cell r="J18">
            <v>131.637</v>
          </cell>
          <cell r="K18">
            <v>745.94299999999998</v>
          </cell>
        </row>
        <row r="19">
          <cell r="A19" t="str">
            <v>CUST001</v>
          </cell>
          <cell r="J19">
            <v>127.34000000000002</v>
          </cell>
          <cell r="K19">
            <v>509.36</v>
          </cell>
        </row>
        <row r="20">
          <cell r="A20" t="str">
            <v>CUST006</v>
          </cell>
          <cell r="J20">
            <v>301.22800000000001</v>
          </cell>
          <cell r="K20">
            <v>1204.912</v>
          </cell>
        </row>
        <row r="21">
          <cell r="A21" t="str">
            <v>CUST026</v>
          </cell>
          <cell r="J21">
            <v>0</v>
          </cell>
          <cell r="K21">
            <v>645.02</v>
          </cell>
        </row>
        <row r="22">
          <cell r="A22" t="str">
            <v>CUST007</v>
          </cell>
          <cell r="J22">
            <v>0</v>
          </cell>
          <cell r="K22">
            <v>953.3</v>
          </cell>
        </row>
        <row r="23">
          <cell r="A23" t="str">
            <v>CUST022</v>
          </cell>
          <cell r="J23">
            <v>58.283999999999999</v>
          </cell>
          <cell r="K23">
            <v>330.27600000000001</v>
          </cell>
        </row>
        <row r="24">
          <cell r="A24" t="str">
            <v>CUST019</v>
          </cell>
          <cell r="J24">
            <v>0</v>
          </cell>
          <cell r="K24">
            <v>743.17</v>
          </cell>
        </row>
        <row r="25">
          <cell r="A25" t="str">
            <v>CUST023</v>
          </cell>
          <cell r="J25">
            <v>0</v>
          </cell>
          <cell r="K25">
            <v>706.37</v>
          </cell>
        </row>
        <row r="26">
          <cell r="A26" t="str">
            <v>CUST012</v>
          </cell>
          <cell r="J26">
            <v>92.531000000000006</v>
          </cell>
          <cell r="K26">
            <v>832.779</v>
          </cell>
        </row>
        <row r="27">
          <cell r="A27" t="str">
            <v>CUST010</v>
          </cell>
          <cell r="J27">
            <v>0</v>
          </cell>
          <cell r="K27">
            <v>1173.1199999999999</v>
          </cell>
        </row>
        <row r="28">
          <cell r="A28" t="str">
            <v>CUST030</v>
          </cell>
          <cell r="J28">
            <v>0</v>
          </cell>
          <cell r="K28">
            <v>675.54</v>
          </cell>
        </row>
        <row r="29">
          <cell r="A29" t="str">
            <v>CUST007</v>
          </cell>
          <cell r="J29">
            <v>46.954500000000003</v>
          </cell>
          <cell r="K29">
            <v>892.13549999999998</v>
          </cell>
        </row>
        <row r="30">
          <cell r="A30" t="str">
            <v>CUST028</v>
          </cell>
          <cell r="J30">
            <v>98.334000000000003</v>
          </cell>
          <cell r="K30">
            <v>885.00600000000009</v>
          </cell>
        </row>
        <row r="31">
          <cell r="A31" t="str">
            <v>CUST028</v>
          </cell>
          <cell r="J31">
            <v>160.24200000000002</v>
          </cell>
          <cell r="K31">
            <v>640.96800000000007</v>
          </cell>
        </row>
        <row r="32">
          <cell r="A32" t="str">
            <v>CUST025</v>
          </cell>
          <cell r="J32">
            <v>145.071</v>
          </cell>
          <cell r="K32">
            <v>1305.6390000000001</v>
          </cell>
        </row>
        <row r="33">
          <cell r="A33" t="str">
            <v>CUST022</v>
          </cell>
          <cell r="J33">
            <v>51.160500000000006</v>
          </cell>
          <cell r="K33">
            <v>972.04950000000008</v>
          </cell>
        </row>
        <row r="34">
          <cell r="A34" t="str">
            <v>CUST001</v>
          </cell>
          <cell r="J34">
            <v>128.05799999999999</v>
          </cell>
          <cell r="K34">
            <v>725.66200000000003</v>
          </cell>
        </row>
        <row r="35">
          <cell r="A35" t="str">
            <v>CUST021</v>
          </cell>
          <cell r="J35">
            <v>96.789000000000001</v>
          </cell>
          <cell r="K35">
            <v>871.101</v>
          </cell>
        </row>
        <row r="36">
          <cell r="A36" t="str">
            <v>CUST015</v>
          </cell>
          <cell r="J36">
            <v>60.045000000000009</v>
          </cell>
          <cell r="K36">
            <v>1140.855</v>
          </cell>
        </row>
        <row r="37">
          <cell r="A37" t="str">
            <v>CUST012</v>
          </cell>
          <cell r="J37">
            <v>94.475999999999999</v>
          </cell>
          <cell r="K37">
            <v>377.904</v>
          </cell>
        </row>
        <row r="38">
          <cell r="A38" t="str">
            <v>CUST019</v>
          </cell>
          <cell r="J38">
            <v>42.045999999999999</v>
          </cell>
          <cell r="K38">
            <v>798.87399999999991</v>
          </cell>
        </row>
        <row r="39">
          <cell r="A39" t="str">
            <v>CUST028</v>
          </cell>
          <cell r="J39">
            <v>70.503</v>
          </cell>
          <cell r="K39">
            <v>1339.557</v>
          </cell>
        </row>
        <row r="40">
          <cell r="A40" t="str">
            <v>CUST008</v>
          </cell>
          <cell r="J40">
            <v>115.9635</v>
          </cell>
          <cell r="K40">
            <v>657.12650000000008</v>
          </cell>
        </row>
        <row r="41">
          <cell r="A41" t="str">
            <v>CUST016</v>
          </cell>
          <cell r="J41">
            <v>87.064499999999995</v>
          </cell>
          <cell r="K41">
            <v>493.36549999999994</v>
          </cell>
        </row>
        <row r="42">
          <cell r="A42" t="str">
            <v>CUST005</v>
          </cell>
          <cell r="J42">
            <v>115.12100000000001</v>
          </cell>
          <cell r="K42">
            <v>1036.0889999999999</v>
          </cell>
        </row>
        <row r="43">
          <cell r="A43" t="str">
            <v>CUST028</v>
          </cell>
          <cell r="J43">
            <v>205.19600000000003</v>
          </cell>
          <cell r="K43">
            <v>820.78399999999999</v>
          </cell>
        </row>
        <row r="44">
          <cell r="A44" t="str">
            <v>CUST023</v>
          </cell>
          <cell r="J44">
            <v>83.462999999999994</v>
          </cell>
          <cell r="K44">
            <v>472.95699999999999</v>
          </cell>
        </row>
        <row r="45">
          <cell r="A45" t="str">
            <v>CUST021</v>
          </cell>
          <cell r="J45">
            <v>84.085000000000008</v>
          </cell>
          <cell r="K45">
            <v>756.76499999999999</v>
          </cell>
        </row>
        <row r="46">
          <cell r="A46" t="str">
            <v>CUST026</v>
          </cell>
          <cell r="J46">
            <v>184.08750000000001</v>
          </cell>
          <cell r="K46">
            <v>1043.1624999999999</v>
          </cell>
        </row>
        <row r="47">
          <cell r="A47" t="str">
            <v>CUST017</v>
          </cell>
          <cell r="J47">
            <v>0</v>
          </cell>
          <cell r="K47">
            <v>856.7</v>
          </cell>
        </row>
        <row r="48">
          <cell r="A48" t="str">
            <v>CUST025</v>
          </cell>
          <cell r="J48">
            <v>183.81300000000002</v>
          </cell>
          <cell r="K48">
            <v>1041.607</v>
          </cell>
        </row>
        <row r="49">
          <cell r="A49" t="str">
            <v>CUST011</v>
          </cell>
          <cell r="J49">
            <v>0</v>
          </cell>
          <cell r="K49">
            <v>1001.57</v>
          </cell>
        </row>
        <row r="50">
          <cell r="A50" t="str">
            <v>CUST021</v>
          </cell>
          <cell r="J50">
            <v>237.37</v>
          </cell>
          <cell r="K50">
            <v>949.4799999999999</v>
          </cell>
        </row>
        <row r="51">
          <cell r="A51" t="str">
            <v>CUST008</v>
          </cell>
          <cell r="J51">
            <v>77.545000000000016</v>
          </cell>
          <cell r="K51">
            <v>697.90499999999997</v>
          </cell>
        </row>
        <row r="52">
          <cell r="A52" t="str">
            <v>CUST007</v>
          </cell>
          <cell r="J52">
            <v>51.073500000000003</v>
          </cell>
          <cell r="K52">
            <v>970.39650000000006</v>
          </cell>
        </row>
        <row r="53">
          <cell r="A53" t="str">
            <v>CUST015</v>
          </cell>
          <cell r="J53">
            <v>122.66199999999999</v>
          </cell>
          <cell r="K53">
            <v>1103.9579999999999</v>
          </cell>
        </row>
        <row r="54">
          <cell r="A54" t="str">
            <v>CUST030</v>
          </cell>
          <cell r="J54">
            <v>0</v>
          </cell>
          <cell r="K54">
            <v>1086.93</v>
          </cell>
        </row>
        <row r="55">
          <cell r="A55" t="str">
            <v>CUST002</v>
          </cell>
          <cell r="J55">
            <v>94.29</v>
          </cell>
          <cell r="K55">
            <v>848.61</v>
          </cell>
        </row>
        <row r="56">
          <cell r="A56" t="str">
            <v>CUST009</v>
          </cell>
          <cell r="J56">
            <v>122.82</v>
          </cell>
          <cell r="K56">
            <v>695.98</v>
          </cell>
        </row>
        <row r="57">
          <cell r="A57" t="str">
            <v>CUST005</v>
          </cell>
          <cell r="J57">
            <v>183.80799999999999</v>
          </cell>
          <cell r="K57">
            <v>735.23199999999997</v>
          </cell>
        </row>
        <row r="58">
          <cell r="A58" t="str">
            <v>CUST030</v>
          </cell>
          <cell r="J58">
            <v>0</v>
          </cell>
          <cell r="K58">
            <v>973.26</v>
          </cell>
        </row>
        <row r="59">
          <cell r="A59" t="str">
            <v>CUST029</v>
          </cell>
          <cell r="J59">
            <v>148.322</v>
          </cell>
          <cell r="K59">
            <v>593.28800000000001</v>
          </cell>
        </row>
        <row r="60">
          <cell r="A60" t="str">
            <v>CUST003</v>
          </cell>
          <cell r="J60">
            <v>124.88200000000001</v>
          </cell>
          <cell r="K60">
            <v>1123.9379999999999</v>
          </cell>
        </row>
        <row r="61">
          <cell r="A61" t="str">
            <v>CUST012</v>
          </cell>
          <cell r="J61">
            <v>0</v>
          </cell>
          <cell r="K61">
            <v>1360.36</v>
          </cell>
        </row>
        <row r="62">
          <cell r="A62" t="str">
            <v>CUST021</v>
          </cell>
          <cell r="J62">
            <v>138.33000000000001</v>
          </cell>
          <cell r="K62">
            <v>1244.97</v>
          </cell>
        </row>
        <row r="63">
          <cell r="A63" t="str">
            <v>CUST010</v>
          </cell>
          <cell r="J63">
            <v>0</v>
          </cell>
          <cell r="K63">
            <v>488.99</v>
          </cell>
        </row>
        <row r="64">
          <cell r="A64" t="str">
            <v>CUST026</v>
          </cell>
          <cell r="J64">
            <v>93.371000000000009</v>
          </cell>
          <cell r="K64">
            <v>840.33900000000006</v>
          </cell>
        </row>
        <row r="65">
          <cell r="A65" t="str">
            <v>CUST003</v>
          </cell>
          <cell r="J65">
            <v>201.10599999999999</v>
          </cell>
          <cell r="K65">
            <v>804.42399999999998</v>
          </cell>
        </row>
        <row r="66">
          <cell r="A66" t="str">
            <v>CUST029</v>
          </cell>
          <cell r="J66">
            <v>55.004999999999995</v>
          </cell>
          <cell r="K66">
            <v>1045.0949999999998</v>
          </cell>
        </row>
        <row r="67">
          <cell r="A67" t="str">
            <v>CUST003</v>
          </cell>
          <cell r="J67">
            <v>155.20500000000001</v>
          </cell>
          <cell r="K67">
            <v>879.495</v>
          </cell>
        </row>
        <row r="68">
          <cell r="A68" t="str">
            <v>CUST002</v>
          </cell>
          <cell r="J68">
            <v>43.822000000000003</v>
          </cell>
          <cell r="K68">
            <v>832.61800000000005</v>
          </cell>
        </row>
        <row r="69">
          <cell r="A69" t="str">
            <v>CUST020</v>
          </cell>
          <cell r="J69">
            <v>68.566999999999993</v>
          </cell>
          <cell r="K69">
            <v>1302.7729999999999</v>
          </cell>
        </row>
        <row r="70">
          <cell r="A70" t="str">
            <v>CUST021</v>
          </cell>
          <cell r="J70">
            <v>51.013000000000005</v>
          </cell>
          <cell r="K70">
            <v>969.24699999999996</v>
          </cell>
        </row>
        <row r="71">
          <cell r="A71" t="str">
            <v>CUST008</v>
          </cell>
          <cell r="J71">
            <v>40.240499999999997</v>
          </cell>
          <cell r="K71">
            <v>764.56949999999995</v>
          </cell>
        </row>
        <row r="72">
          <cell r="A72" t="str">
            <v>CUST030</v>
          </cell>
          <cell r="J72">
            <v>30.433</v>
          </cell>
          <cell r="K72">
            <v>578.22699999999998</v>
          </cell>
        </row>
        <row r="73">
          <cell r="A73" t="str">
            <v>CUST020</v>
          </cell>
          <cell r="J73">
            <v>0</v>
          </cell>
          <cell r="K73">
            <v>981.2</v>
          </cell>
        </row>
        <row r="74">
          <cell r="A74" t="str">
            <v>CUST024</v>
          </cell>
          <cell r="J74">
            <v>80.965499999999992</v>
          </cell>
          <cell r="K74">
            <v>458.80449999999996</v>
          </cell>
        </row>
        <row r="75">
          <cell r="A75" t="str">
            <v>CUST012</v>
          </cell>
          <cell r="J75">
            <v>160.89000000000001</v>
          </cell>
          <cell r="K75">
            <v>643.56000000000006</v>
          </cell>
        </row>
        <row r="76">
          <cell r="A76" t="str">
            <v>CUST024</v>
          </cell>
          <cell r="J76">
            <v>305.32</v>
          </cell>
          <cell r="K76">
            <v>1221.28</v>
          </cell>
        </row>
        <row r="77">
          <cell r="A77" t="str">
            <v>CUST012</v>
          </cell>
          <cell r="J77">
            <v>182.28899999999999</v>
          </cell>
          <cell r="K77">
            <v>1032.971</v>
          </cell>
        </row>
        <row r="78">
          <cell r="A78" t="str">
            <v>CUST005</v>
          </cell>
          <cell r="J78">
            <v>0</v>
          </cell>
          <cell r="K78">
            <v>1261.3399999999999</v>
          </cell>
        </row>
        <row r="79">
          <cell r="A79" t="str">
            <v>CUST004</v>
          </cell>
          <cell r="J79">
            <v>25.903500000000005</v>
          </cell>
          <cell r="K79">
            <v>492.16650000000004</v>
          </cell>
        </row>
        <row r="80">
          <cell r="A80" t="str">
            <v>CUST026</v>
          </cell>
          <cell r="J80">
            <v>0</v>
          </cell>
          <cell r="K80">
            <v>1111.3399999999999</v>
          </cell>
        </row>
        <row r="81">
          <cell r="A81" t="str">
            <v>CUST030</v>
          </cell>
          <cell r="J81">
            <v>129.14700000000002</v>
          </cell>
          <cell r="K81">
            <v>1162.3230000000001</v>
          </cell>
        </row>
        <row r="82">
          <cell r="A82" t="str">
            <v>CUST007</v>
          </cell>
          <cell r="J82">
            <v>0</v>
          </cell>
          <cell r="K82">
            <v>679.71</v>
          </cell>
        </row>
        <row r="83">
          <cell r="A83" t="str">
            <v>CUST020</v>
          </cell>
          <cell r="J83">
            <v>0</v>
          </cell>
          <cell r="K83">
            <v>1143.69</v>
          </cell>
        </row>
        <row r="84">
          <cell r="A84" t="str">
            <v>CUST028</v>
          </cell>
          <cell r="J84">
            <v>79.00800000000001</v>
          </cell>
          <cell r="K84">
            <v>711.072</v>
          </cell>
        </row>
        <row r="85">
          <cell r="A85" t="str">
            <v>CUST005</v>
          </cell>
          <cell r="J85">
            <v>53.534000000000006</v>
          </cell>
          <cell r="K85">
            <v>1017.1460000000001</v>
          </cell>
        </row>
        <row r="86">
          <cell r="A86" t="str">
            <v>CUST015</v>
          </cell>
          <cell r="J86">
            <v>116.88900000000001</v>
          </cell>
          <cell r="K86">
            <v>1052.0010000000002</v>
          </cell>
        </row>
        <row r="87">
          <cell r="A87" t="str">
            <v>CUST003</v>
          </cell>
          <cell r="J87">
            <v>0</v>
          </cell>
          <cell r="K87">
            <v>1335.87</v>
          </cell>
        </row>
        <row r="88">
          <cell r="A88" t="str">
            <v>CUST023</v>
          </cell>
          <cell r="J88">
            <v>0</v>
          </cell>
          <cell r="K88">
            <v>873.7</v>
          </cell>
        </row>
        <row r="89">
          <cell r="A89" t="str">
            <v>CUST004</v>
          </cell>
          <cell r="J89">
            <v>0</v>
          </cell>
          <cell r="K89">
            <v>1443.98</v>
          </cell>
        </row>
        <row r="90">
          <cell r="A90" t="str">
            <v>CUST023</v>
          </cell>
          <cell r="J90">
            <v>173.14949999999999</v>
          </cell>
          <cell r="K90">
            <v>981.18049999999994</v>
          </cell>
        </row>
        <row r="91">
          <cell r="A91" t="str">
            <v>CUST022</v>
          </cell>
          <cell r="J91">
            <v>63.224500000000006</v>
          </cell>
          <cell r="K91">
            <v>1201.2655</v>
          </cell>
        </row>
        <row r="92">
          <cell r="A92" t="str">
            <v>CUST007</v>
          </cell>
          <cell r="J92">
            <v>110.155</v>
          </cell>
          <cell r="K92">
            <v>991.39499999999998</v>
          </cell>
        </row>
        <row r="93">
          <cell r="A93" t="str">
            <v>CUST013</v>
          </cell>
          <cell r="J93">
            <v>72.77300000000001</v>
          </cell>
          <cell r="K93">
            <v>654.95699999999999</v>
          </cell>
        </row>
        <row r="94">
          <cell r="A94" t="str">
            <v>CUST027</v>
          </cell>
          <cell r="J94">
            <v>131.3115</v>
          </cell>
          <cell r="K94">
            <v>744.09849999999994</v>
          </cell>
        </row>
        <row r="95">
          <cell r="A95" t="str">
            <v>CUST003</v>
          </cell>
          <cell r="J95">
            <v>231.78800000000001</v>
          </cell>
          <cell r="K95">
            <v>927.15200000000004</v>
          </cell>
        </row>
        <row r="96">
          <cell r="A96" t="str">
            <v>CUST018</v>
          </cell>
          <cell r="J96">
            <v>144.94499999999999</v>
          </cell>
          <cell r="K96">
            <v>821.35500000000002</v>
          </cell>
        </row>
        <row r="97">
          <cell r="A97" t="str">
            <v>CUST020</v>
          </cell>
          <cell r="J97">
            <v>0</v>
          </cell>
          <cell r="K97">
            <v>917.48</v>
          </cell>
        </row>
        <row r="98">
          <cell r="A98" t="str">
            <v>CUST029</v>
          </cell>
          <cell r="J98">
            <v>175.94550000000001</v>
          </cell>
          <cell r="K98">
            <v>997.02449999999999</v>
          </cell>
        </row>
        <row r="99">
          <cell r="A99" t="str">
            <v>CUST021</v>
          </cell>
          <cell r="J99">
            <v>120.58199999999999</v>
          </cell>
          <cell r="K99">
            <v>1085.2379999999998</v>
          </cell>
        </row>
        <row r="100">
          <cell r="A100" t="str">
            <v>CUST017</v>
          </cell>
          <cell r="J100">
            <v>165.386</v>
          </cell>
          <cell r="K100">
            <v>661.54399999999998</v>
          </cell>
        </row>
        <row r="101">
          <cell r="A101" t="str">
            <v>CUST003</v>
          </cell>
          <cell r="J101">
            <v>0</v>
          </cell>
          <cell r="K101">
            <v>902.19</v>
          </cell>
        </row>
        <row r="102">
          <cell r="A102" t="str">
            <v>CUST027</v>
          </cell>
          <cell r="J102">
            <v>58.597000000000008</v>
          </cell>
          <cell r="K102">
            <v>527.37300000000005</v>
          </cell>
        </row>
        <row r="103">
          <cell r="A103" t="str">
            <v>CUST016</v>
          </cell>
          <cell r="J103">
            <v>99.019000000000005</v>
          </cell>
          <cell r="K103">
            <v>891.17100000000005</v>
          </cell>
        </row>
        <row r="104">
          <cell r="A104" t="str">
            <v>CUST008</v>
          </cell>
          <cell r="J104">
            <v>202.81800000000001</v>
          </cell>
          <cell r="K104">
            <v>811.27200000000005</v>
          </cell>
        </row>
        <row r="105">
          <cell r="A105" t="str">
            <v>CUST012</v>
          </cell>
          <cell r="J105">
            <v>0</v>
          </cell>
          <cell r="K105">
            <v>925.29</v>
          </cell>
        </row>
        <row r="106">
          <cell r="A106" t="str">
            <v>CUST025</v>
          </cell>
          <cell r="J106">
            <v>0</v>
          </cell>
          <cell r="K106">
            <v>1286.54</v>
          </cell>
        </row>
        <row r="107">
          <cell r="A107" t="str">
            <v>CUST014</v>
          </cell>
          <cell r="J107">
            <v>192.32400000000001</v>
          </cell>
          <cell r="K107">
            <v>769.29600000000005</v>
          </cell>
        </row>
        <row r="108">
          <cell r="A108" t="str">
            <v>CUST008</v>
          </cell>
          <cell r="J108">
            <v>162.17100000000002</v>
          </cell>
          <cell r="K108">
            <v>918.96900000000005</v>
          </cell>
        </row>
        <row r="109">
          <cell r="A109" t="str">
            <v>CUST015</v>
          </cell>
          <cell r="J109">
            <v>384.73200000000003</v>
          </cell>
          <cell r="K109">
            <v>1538.9280000000001</v>
          </cell>
        </row>
        <row r="110">
          <cell r="A110" t="str">
            <v>CUST025</v>
          </cell>
          <cell r="J110">
            <v>72.871000000000009</v>
          </cell>
          <cell r="K110">
            <v>655.83900000000006</v>
          </cell>
        </row>
        <row r="111">
          <cell r="A111" t="str">
            <v>CUST019</v>
          </cell>
          <cell r="J111">
            <v>195.2835</v>
          </cell>
          <cell r="K111">
            <v>1106.6065000000001</v>
          </cell>
        </row>
        <row r="112">
          <cell r="A112" t="str">
            <v>CUST024</v>
          </cell>
          <cell r="J112">
            <v>98.018000000000001</v>
          </cell>
          <cell r="K112">
            <v>882.16199999999992</v>
          </cell>
        </row>
        <row r="113">
          <cell r="A113" t="str">
            <v>CUST027</v>
          </cell>
          <cell r="J113">
            <v>69.757000000000005</v>
          </cell>
          <cell r="K113">
            <v>627.8130000000001</v>
          </cell>
        </row>
        <row r="114">
          <cell r="A114" t="str">
            <v>CUST006</v>
          </cell>
          <cell r="J114">
            <v>179.04149999999998</v>
          </cell>
          <cell r="K114">
            <v>1014.5684999999999</v>
          </cell>
        </row>
        <row r="115">
          <cell r="A115" t="str">
            <v>CUST009</v>
          </cell>
          <cell r="J115">
            <v>0</v>
          </cell>
          <cell r="K115">
            <v>771.02</v>
          </cell>
        </row>
        <row r="116">
          <cell r="A116" t="str">
            <v>CUST003</v>
          </cell>
          <cell r="J116">
            <v>132.21800000000002</v>
          </cell>
          <cell r="K116">
            <v>528.87200000000007</v>
          </cell>
        </row>
        <row r="117">
          <cell r="A117" t="str">
            <v>CUST012</v>
          </cell>
          <cell r="J117">
            <v>0</v>
          </cell>
          <cell r="K117">
            <v>688.83</v>
          </cell>
        </row>
        <row r="118">
          <cell r="A118" t="str">
            <v>CUST013</v>
          </cell>
          <cell r="J118">
            <v>62.454999999999998</v>
          </cell>
          <cell r="K118">
            <v>1186.645</v>
          </cell>
        </row>
        <row r="119">
          <cell r="A119" t="str">
            <v>CUST008</v>
          </cell>
          <cell r="J119">
            <v>50.711000000000006</v>
          </cell>
          <cell r="K119">
            <v>963.50900000000001</v>
          </cell>
        </row>
        <row r="120">
          <cell r="A120" t="str">
            <v>CUST025</v>
          </cell>
          <cell r="J120">
            <v>151.58699999999999</v>
          </cell>
          <cell r="K120">
            <v>858.99300000000005</v>
          </cell>
        </row>
        <row r="121">
          <cell r="A121" t="str">
            <v>CUST026</v>
          </cell>
          <cell r="J121">
            <v>47.8645</v>
          </cell>
          <cell r="K121">
            <v>909.42549999999994</v>
          </cell>
        </row>
        <row r="122">
          <cell r="A122" t="str">
            <v>CUST001</v>
          </cell>
          <cell r="J122">
            <v>53.896000000000008</v>
          </cell>
          <cell r="K122">
            <v>1024.0240000000001</v>
          </cell>
        </row>
        <row r="123">
          <cell r="A123" t="str">
            <v>CUST028</v>
          </cell>
          <cell r="J123">
            <v>0</v>
          </cell>
          <cell r="K123">
            <v>1163.01</v>
          </cell>
        </row>
        <row r="124">
          <cell r="A124" t="str">
            <v>CUST025</v>
          </cell>
          <cell r="J124">
            <v>101.456</v>
          </cell>
          <cell r="K124">
            <v>913.10399999999993</v>
          </cell>
        </row>
        <row r="125">
          <cell r="A125" t="str">
            <v>CUST019</v>
          </cell>
          <cell r="J125">
            <v>0</v>
          </cell>
          <cell r="K125">
            <v>718.04</v>
          </cell>
        </row>
        <row r="126">
          <cell r="A126" t="str">
            <v>CUST004</v>
          </cell>
          <cell r="J126">
            <v>255.57</v>
          </cell>
          <cell r="K126">
            <v>1022.28</v>
          </cell>
        </row>
        <row r="127">
          <cell r="A127" t="str">
            <v>CUST024</v>
          </cell>
          <cell r="J127">
            <v>106.0095</v>
          </cell>
          <cell r="K127">
            <v>600.72050000000002</v>
          </cell>
        </row>
        <row r="128">
          <cell r="A128" t="str">
            <v>CUST002</v>
          </cell>
          <cell r="J128">
            <v>0</v>
          </cell>
          <cell r="K128">
            <v>1410.59</v>
          </cell>
        </row>
        <row r="129">
          <cell r="A129" t="str">
            <v>CUST009</v>
          </cell>
          <cell r="J129">
            <v>0</v>
          </cell>
          <cell r="K129">
            <v>1350.33</v>
          </cell>
        </row>
        <row r="130">
          <cell r="A130" t="str">
            <v>CUST029</v>
          </cell>
          <cell r="J130">
            <v>137.87699999999998</v>
          </cell>
          <cell r="K130">
            <v>781.303</v>
          </cell>
        </row>
        <row r="131">
          <cell r="A131" t="str">
            <v>CUST027</v>
          </cell>
          <cell r="J131">
            <v>0</v>
          </cell>
          <cell r="K131">
            <v>258.51</v>
          </cell>
        </row>
        <row r="132">
          <cell r="A132" t="str">
            <v>CUST011</v>
          </cell>
          <cell r="J132">
            <v>60.674000000000007</v>
          </cell>
          <cell r="K132">
            <v>1152.806</v>
          </cell>
        </row>
        <row r="133">
          <cell r="A133" t="str">
            <v>CUST021</v>
          </cell>
          <cell r="J133">
            <v>57.514000000000003</v>
          </cell>
          <cell r="K133">
            <v>1092.7660000000001</v>
          </cell>
        </row>
        <row r="134">
          <cell r="A134" t="str">
            <v>CUST014</v>
          </cell>
          <cell r="J134">
            <v>85.38600000000001</v>
          </cell>
          <cell r="K134">
            <v>768.47400000000005</v>
          </cell>
        </row>
        <row r="135">
          <cell r="A135" t="str">
            <v>CUST018</v>
          </cell>
          <cell r="J135">
            <v>0</v>
          </cell>
          <cell r="K135">
            <v>1061.04</v>
          </cell>
        </row>
        <row r="136">
          <cell r="A136" t="str">
            <v>CUST001</v>
          </cell>
          <cell r="J136">
            <v>178.91</v>
          </cell>
          <cell r="K136">
            <v>715.64</v>
          </cell>
        </row>
        <row r="137">
          <cell r="A137" t="str">
            <v>CUST007</v>
          </cell>
          <cell r="J137">
            <v>41.695500000000003</v>
          </cell>
          <cell r="K137">
            <v>792.21449999999993</v>
          </cell>
        </row>
        <row r="138">
          <cell r="A138" t="str">
            <v>CUST015</v>
          </cell>
          <cell r="J138">
            <v>164.03800000000001</v>
          </cell>
          <cell r="K138">
            <v>656.15200000000004</v>
          </cell>
        </row>
        <row r="139">
          <cell r="A139" t="str">
            <v>CUST015</v>
          </cell>
          <cell r="J139">
            <v>25.587000000000003</v>
          </cell>
          <cell r="K139">
            <v>486.15300000000002</v>
          </cell>
        </row>
        <row r="140">
          <cell r="A140" t="str">
            <v>CUST002</v>
          </cell>
          <cell r="J140">
            <v>40.301500000000004</v>
          </cell>
          <cell r="K140">
            <v>765.72849999999994</v>
          </cell>
        </row>
        <row r="141">
          <cell r="A141" t="str">
            <v>CUST001</v>
          </cell>
          <cell r="J141">
            <v>214.87049999999999</v>
          </cell>
          <cell r="K141">
            <v>1217.5995</v>
          </cell>
        </row>
        <row r="142">
          <cell r="A142" t="str">
            <v>CUST027</v>
          </cell>
          <cell r="J142">
            <v>223.28699999999998</v>
          </cell>
          <cell r="K142">
            <v>1265.2929999999999</v>
          </cell>
        </row>
        <row r="143">
          <cell r="A143" t="str">
            <v>CUST026</v>
          </cell>
          <cell r="J143">
            <v>0</v>
          </cell>
          <cell r="K143">
            <v>1231.26</v>
          </cell>
        </row>
        <row r="144">
          <cell r="A144" t="str">
            <v>CUST026</v>
          </cell>
          <cell r="J144">
            <v>232.33400000000003</v>
          </cell>
          <cell r="K144">
            <v>929.33600000000001</v>
          </cell>
        </row>
        <row r="145">
          <cell r="A145" t="str">
            <v>CUST022</v>
          </cell>
          <cell r="J145">
            <v>19.411500000000004</v>
          </cell>
          <cell r="K145">
            <v>368.81850000000003</v>
          </cell>
        </row>
        <row r="146">
          <cell r="A146" t="str">
            <v>CUST004</v>
          </cell>
          <cell r="J146">
            <v>238.41300000000001</v>
          </cell>
          <cell r="K146">
            <v>1351.0070000000001</v>
          </cell>
        </row>
        <row r="147">
          <cell r="A147" t="str">
            <v>CUST001</v>
          </cell>
          <cell r="J147">
            <v>67.332000000000008</v>
          </cell>
          <cell r="K147">
            <v>269.32800000000003</v>
          </cell>
        </row>
        <row r="148">
          <cell r="A148" t="str">
            <v>CUST022</v>
          </cell>
          <cell r="J148">
            <v>135.37899999999999</v>
          </cell>
          <cell r="K148">
            <v>1218.4110000000001</v>
          </cell>
        </row>
        <row r="149">
          <cell r="A149" t="str">
            <v>CUST011</v>
          </cell>
          <cell r="J149">
            <v>33.130500000000005</v>
          </cell>
          <cell r="K149">
            <v>629.47950000000003</v>
          </cell>
        </row>
        <row r="150">
          <cell r="A150" t="str">
            <v>CUST028</v>
          </cell>
          <cell r="J150">
            <v>61.884000000000007</v>
          </cell>
          <cell r="K150">
            <v>247.536</v>
          </cell>
        </row>
        <row r="151">
          <cell r="A151" t="str">
            <v>CUST011</v>
          </cell>
          <cell r="J151">
            <v>88.463000000000008</v>
          </cell>
          <cell r="K151">
            <v>796.16700000000003</v>
          </cell>
        </row>
        <row r="152">
          <cell r="A152" t="str">
            <v>CUST028</v>
          </cell>
          <cell r="J152">
            <v>74.504999999999995</v>
          </cell>
          <cell r="K152">
            <v>670.54499999999996</v>
          </cell>
        </row>
        <row r="153">
          <cell r="A153" t="str">
            <v>CUST016</v>
          </cell>
          <cell r="J153">
            <v>43.511500000000005</v>
          </cell>
          <cell r="K153">
            <v>826.71850000000006</v>
          </cell>
        </row>
        <row r="154">
          <cell r="A154" t="str">
            <v>CUST010</v>
          </cell>
          <cell r="J154">
            <v>43.109500000000004</v>
          </cell>
          <cell r="K154">
            <v>819.08050000000003</v>
          </cell>
        </row>
        <row r="155">
          <cell r="A155" t="str">
            <v>CUST013</v>
          </cell>
          <cell r="J155">
            <v>58.559000000000005</v>
          </cell>
          <cell r="K155">
            <v>1112.6210000000001</v>
          </cell>
        </row>
        <row r="156">
          <cell r="A156" t="str">
            <v>CUST015</v>
          </cell>
          <cell r="J156">
            <v>105.456</v>
          </cell>
          <cell r="K156">
            <v>949.10399999999993</v>
          </cell>
        </row>
        <row r="157">
          <cell r="A157" t="str">
            <v>CUST015</v>
          </cell>
          <cell r="J157">
            <v>336.24200000000002</v>
          </cell>
          <cell r="K157">
            <v>1344.9680000000001</v>
          </cell>
        </row>
        <row r="158">
          <cell r="A158" t="str">
            <v>CUST015</v>
          </cell>
          <cell r="J158">
            <v>18.988499999999998</v>
          </cell>
          <cell r="K158">
            <v>360.78149999999999</v>
          </cell>
        </row>
        <row r="159">
          <cell r="A159" t="str">
            <v>CUST008</v>
          </cell>
          <cell r="J159">
            <v>107.633</v>
          </cell>
          <cell r="K159">
            <v>968.69699999999989</v>
          </cell>
        </row>
        <row r="160">
          <cell r="A160" t="str">
            <v>CUST008</v>
          </cell>
          <cell r="J160">
            <v>0</v>
          </cell>
          <cell r="K160">
            <v>1250.71</v>
          </cell>
        </row>
        <row r="161">
          <cell r="A161" t="str">
            <v>CUST023</v>
          </cell>
          <cell r="J161">
            <v>223.66800000000001</v>
          </cell>
          <cell r="K161">
            <v>894.67199999999991</v>
          </cell>
        </row>
        <row r="162">
          <cell r="A162" t="str">
            <v>CUST024</v>
          </cell>
          <cell r="J162">
            <v>324.524</v>
          </cell>
          <cell r="K162">
            <v>1298.096</v>
          </cell>
        </row>
        <row r="163">
          <cell r="A163" t="str">
            <v>CUST018</v>
          </cell>
          <cell r="J163">
            <v>128.12800000000001</v>
          </cell>
          <cell r="K163">
            <v>512.51199999999994</v>
          </cell>
        </row>
        <row r="164">
          <cell r="A164" t="str">
            <v>CUST030</v>
          </cell>
          <cell r="J164">
            <v>58.515999999999998</v>
          </cell>
          <cell r="K164">
            <v>526.64400000000001</v>
          </cell>
        </row>
        <row r="165">
          <cell r="A165" t="str">
            <v>CUST030</v>
          </cell>
          <cell r="J165">
            <v>221.99600000000001</v>
          </cell>
          <cell r="K165">
            <v>887.98400000000004</v>
          </cell>
        </row>
        <row r="166">
          <cell r="A166" t="str">
            <v>CUST015</v>
          </cell>
          <cell r="J166">
            <v>109.80799999999999</v>
          </cell>
          <cell r="K166">
            <v>988.27199999999993</v>
          </cell>
        </row>
        <row r="167">
          <cell r="A167" t="str">
            <v>CUST002</v>
          </cell>
          <cell r="J167">
            <v>82.725000000000009</v>
          </cell>
          <cell r="K167">
            <v>744.52499999999998</v>
          </cell>
        </row>
        <row r="168">
          <cell r="A168" t="str">
            <v>CUST024</v>
          </cell>
          <cell r="J168">
            <v>74.188000000000002</v>
          </cell>
          <cell r="K168">
            <v>667.69200000000001</v>
          </cell>
        </row>
        <row r="169">
          <cell r="A169" t="str">
            <v>CUST004</v>
          </cell>
          <cell r="J169">
            <v>131.126</v>
          </cell>
          <cell r="K169">
            <v>1180.134</v>
          </cell>
        </row>
        <row r="170">
          <cell r="A170" t="str">
            <v>CUST004</v>
          </cell>
          <cell r="J170">
            <v>57.332000000000008</v>
          </cell>
          <cell r="K170">
            <v>515.98800000000006</v>
          </cell>
        </row>
        <row r="171">
          <cell r="A171" t="str">
            <v>CUST028</v>
          </cell>
          <cell r="J171">
            <v>223.04400000000001</v>
          </cell>
          <cell r="K171">
            <v>892.17600000000004</v>
          </cell>
        </row>
        <row r="172">
          <cell r="A172" t="str">
            <v>CUST012</v>
          </cell>
          <cell r="J172">
            <v>0</v>
          </cell>
          <cell r="K172">
            <v>845.84</v>
          </cell>
        </row>
        <row r="173">
          <cell r="A173" t="str">
            <v>CUST026</v>
          </cell>
          <cell r="J173">
            <v>0</v>
          </cell>
          <cell r="K173">
            <v>1029.8</v>
          </cell>
        </row>
        <row r="174">
          <cell r="A174" t="str">
            <v>CUST009</v>
          </cell>
          <cell r="J174">
            <v>237.96600000000001</v>
          </cell>
          <cell r="K174">
            <v>951.86399999999992</v>
          </cell>
        </row>
        <row r="175">
          <cell r="A175" t="str">
            <v>CUST003</v>
          </cell>
          <cell r="J175">
            <v>140.85599999999999</v>
          </cell>
          <cell r="K175">
            <v>563.42399999999998</v>
          </cell>
        </row>
        <row r="176">
          <cell r="A176" t="str">
            <v>CUST002</v>
          </cell>
          <cell r="J176">
            <v>323.64400000000001</v>
          </cell>
          <cell r="K176">
            <v>1294.576</v>
          </cell>
        </row>
        <row r="177">
          <cell r="A177" t="str">
            <v>CUST013</v>
          </cell>
          <cell r="J177">
            <v>152.16449999999998</v>
          </cell>
          <cell r="K177">
            <v>862.26549999999997</v>
          </cell>
        </row>
        <row r="178">
          <cell r="A178" t="str">
            <v>CUST018</v>
          </cell>
          <cell r="J178">
            <v>165.39400000000001</v>
          </cell>
          <cell r="K178">
            <v>661.57600000000002</v>
          </cell>
        </row>
        <row r="179">
          <cell r="A179" t="str">
            <v>CUST017</v>
          </cell>
          <cell r="J179">
            <v>102.22300000000001</v>
          </cell>
          <cell r="K179">
            <v>920.00700000000006</v>
          </cell>
        </row>
        <row r="180">
          <cell r="A180" t="str">
            <v>CUST004</v>
          </cell>
          <cell r="J180">
            <v>0</v>
          </cell>
          <cell r="K180">
            <v>1099.69</v>
          </cell>
        </row>
        <row r="181">
          <cell r="A181" t="str">
            <v>CUST028</v>
          </cell>
          <cell r="J181">
            <v>71.052000000000007</v>
          </cell>
          <cell r="K181">
            <v>639.46799999999996</v>
          </cell>
        </row>
        <row r="182">
          <cell r="A182" t="str">
            <v>CUST028</v>
          </cell>
          <cell r="J182">
            <v>99.836000000000013</v>
          </cell>
          <cell r="K182">
            <v>399.34399999999999</v>
          </cell>
        </row>
        <row r="183">
          <cell r="A183" t="str">
            <v>CUST014</v>
          </cell>
          <cell r="J183">
            <v>53.209500000000006</v>
          </cell>
          <cell r="K183">
            <v>1010.9805</v>
          </cell>
        </row>
        <row r="184">
          <cell r="A184" t="str">
            <v>CUST003</v>
          </cell>
          <cell r="J184">
            <v>21.938000000000002</v>
          </cell>
          <cell r="K184">
            <v>416.822</v>
          </cell>
        </row>
        <row r="185">
          <cell r="A185" t="str">
            <v>CUST029</v>
          </cell>
          <cell r="J185">
            <v>43.249000000000002</v>
          </cell>
          <cell r="K185">
            <v>821.73099999999999</v>
          </cell>
        </row>
        <row r="186">
          <cell r="A186" t="str">
            <v>CUST021</v>
          </cell>
          <cell r="J186">
            <v>196.98599999999999</v>
          </cell>
          <cell r="K186">
            <v>787.94399999999996</v>
          </cell>
        </row>
        <row r="187">
          <cell r="A187" t="str">
            <v>CUST007</v>
          </cell>
          <cell r="J187">
            <v>0</v>
          </cell>
          <cell r="K187">
            <v>1493.49</v>
          </cell>
        </row>
        <row r="188">
          <cell r="A188" t="str">
            <v>CUST009</v>
          </cell>
          <cell r="J188">
            <v>68.942999999999998</v>
          </cell>
          <cell r="K188">
            <v>620.48699999999997</v>
          </cell>
        </row>
        <row r="189">
          <cell r="A189" t="str">
            <v>CUST023</v>
          </cell>
          <cell r="J189">
            <v>0</v>
          </cell>
          <cell r="K189">
            <v>682.24</v>
          </cell>
        </row>
        <row r="190">
          <cell r="A190" t="str">
            <v>CUST029</v>
          </cell>
          <cell r="J190">
            <v>91.708000000000013</v>
          </cell>
          <cell r="K190">
            <v>366.83199999999999</v>
          </cell>
        </row>
        <row r="191">
          <cell r="A191" t="str">
            <v>CUST009</v>
          </cell>
          <cell r="J191">
            <v>236.85000000000002</v>
          </cell>
          <cell r="K191">
            <v>947.4</v>
          </cell>
        </row>
        <row r="192">
          <cell r="A192" t="str">
            <v>CUST007</v>
          </cell>
          <cell r="J192">
            <v>0</v>
          </cell>
          <cell r="K192">
            <v>762.14</v>
          </cell>
        </row>
        <row r="193">
          <cell r="A193" t="str">
            <v>CUST030</v>
          </cell>
          <cell r="J193">
            <v>112.6065</v>
          </cell>
          <cell r="K193">
            <v>638.10350000000005</v>
          </cell>
        </row>
        <row r="194">
          <cell r="A194" t="str">
            <v>CUST018</v>
          </cell>
          <cell r="J194">
            <v>72.847000000000008</v>
          </cell>
          <cell r="K194">
            <v>1384.0930000000001</v>
          </cell>
        </row>
        <row r="195">
          <cell r="A195" t="str">
            <v>CUST008</v>
          </cell>
          <cell r="J195">
            <v>109.33800000000002</v>
          </cell>
          <cell r="K195">
            <v>984.04200000000014</v>
          </cell>
        </row>
        <row r="196">
          <cell r="A196" t="str">
            <v>CUST014</v>
          </cell>
          <cell r="J196">
            <v>140.1405</v>
          </cell>
          <cell r="K196">
            <v>794.12950000000001</v>
          </cell>
        </row>
        <row r="197">
          <cell r="A197" t="str">
            <v>CUST024</v>
          </cell>
          <cell r="J197">
            <v>293.07</v>
          </cell>
          <cell r="K197">
            <v>1172.28</v>
          </cell>
        </row>
        <row r="198">
          <cell r="A198" t="str">
            <v>CUST028</v>
          </cell>
          <cell r="J198">
            <v>0</v>
          </cell>
          <cell r="K198">
            <v>740.8</v>
          </cell>
        </row>
        <row r="199">
          <cell r="A199" t="str">
            <v>CUST015</v>
          </cell>
          <cell r="J199">
            <v>0</v>
          </cell>
          <cell r="K199">
            <v>545.44000000000005</v>
          </cell>
        </row>
        <row r="200">
          <cell r="A200" t="str">
            <v>CUST010</v>
          </cell>
          <cell r="J200">
            <v>49.880500000000005</v>
          </cell>
          <cell r="K200">
            <v>947.72950000000003</v>
          </cell>
        </row>
        <row r="201">
          <cell r="A201" t="str">
            <v>CUST016</v>
          </cell>
          <cell r="J201">
            <v>46.416000000000004</v>
          </cell>
          <cell r="K201">
            <v>881.904</v>
          </cell>
        </row>
      </sheetData>
      <sheetData sheetId="4">
        <row r="8">
          <cell r="K8" t="str">
            <v>CUST015</v>
          </cell>
          <cell r="L8">
            <v>10166.612500000001</v>
          </cell>
        </row>
        <row r="18">
          <cell r="M18">
            <v>0.47375515539294721</v>
          </cell>
        </row>
      </sheetData>
      <sheetData sheetId="5">
        <row r="3">
          <cell r="B3" t="str">
            <v>Total Sales</v>
          </cell>
          <cell r="F3" t="str">
            <v>Total Sales</v>
          </cell>
        </row>
        <row r="4">
          <cell r="A4" t="str">
            <v>Central</v>
          </cell>
          <cell r="B4">
            <v>43468.33</v>
          </cell>
          <cell r="E4" t="str">
            <v>Books</v>
          </cell>
          <cell r="F4">
            <v>47002.460000000006</v>
          </cell>
        </row>
        <row r="5">
          <cell r="A5" t="str">
            <v>East</v>
          </cell>
          <cell r="B5">
            <v>32441.64</v>
          </cell>
          <cell r="E5" t="str">
            <v>Clothing</v>
          </cell>
          <cell r="F5">
            <v>41927.589999999989</v>
          </cell>
        </row>
        <row r="6">
          <cell r="A6" t="str">
            <v>North</v>
          </cell>
          <cell r="B6">
            <v>34975.42</v>
          </cell>
          <cell r="E6" t="str">
            <v>Electronics</v>
          </cell>
          <cell r="F6">
            <v>41044.000000000007</v>
          </cell>
        </row>
        <row r="7">
          <cell r="A7" t="str">
            <v>South</v>
          </cell>
          <cell r="B7">
            <v>40248.79</v>
          </cell>
          <cell r="E7" t="str">
            <v>Furniture</v>
          </cell>
          <cell r="F7">
            <v>36612.89</v>
          </cell>
        </row>
        <row r="8">
          <cell r="A8" t="str">
            <v>West</v>
          </cell>
          <cell r="B8">
            <v>44083.58</v>
          </cell>
          <cell r="E8" t="str">
            <v>Office Supplies</v>
          </cell>
          <cell r="F8">
            <v>28630.819999999992</v>
          </cell>
        </row>
        <row r="22">
          <cell r="C22" t="str">
            <v>Total Sales</v>
          </cell>
        </row>
        <row r="23">
          <cell r="A23" t="str">
            <v>Apr 2024</v>
          </cell>
          <cell r="C23">
            <v>19029.96</v>
          </cell>
        </row>
        <row r="24">
          <cell r="A24" t="str">
            <v>May 2024</v>
          </cell>
          <cell r="C24">
            <v>18507.339999999997</v>
          </cell>
        </row>
        <row r="25">
          <cell r="A25" t="str">
            <v>Jun 2024</v>
          </cell>
          <cell r="C25">
            <v>20187.509999999998</v>
          </cell>
        </row>
        <row r="26">
          <cell r="A26" t="str">
            <v>Jul 2024</v>
          </cell>
          <cell r="C26">
            <v>11609.039999999999</v>
          </cell>
        </row>
        <row r="27">
          <cell r="A27" t="str">
            <v>Aug 2024</v>
          </cell>
          <cell r="C27">
            <v>10091.699999999999</v>
          </cell>
        </row>
        <row r="28">
          <cell r="A28" t="str">
            <v>Sep 2024</v>
          </cell>
          <cell r="C28">
            <v>20533.499999999996</v>
          </cell>
        </row>
        <row r="29">
          <cell r="A29" t="str">
            <v>Oct 2024</v>
          </cell>
          <cell r="C29">
            <v>14215.240000000002</v>
          </cell>
        </row>
        <row r="30">
          <cell r="A30" t="str">
            <v>Nov 2024</v>
          </cell>
          <cell r="C30">
            <v>20135.030000000002</v>
          </cell>
        </row>
        <row r="31">
          <cell r="A31" t="str">
            <v>Dec 2024</v>
          </cell>
          <cell r="C31">
            <v>11120.04</v>
          </cell>
        </row>
        <row r="32">
          <cell r="A32" t="str">
            <v>Jan 2025</v>
          </cell>
          <cell r="C32">
            <v>14914.650000000001</v>
          </cell>
        </row>
        <row r="33">
          <cell r="A33" t="str">
            <v>Feb 2025</v>
          </cell>
          <cell r="C33">
            <v>14006.359999999999</v>
          </cell>
        </row>
        <row r="34">
          <cell r="A34" t="str">
            <v>Mar 2025</v>
          </cell>
          <cell r="C34">
            <v>17655.219999999998</v>
          </cell>
        </row>
        <row r="35">
          <cell r="A35" t="str">
            <v>Apr 2025</v>
          </cell>
          <cell r="C35">
            <v>3212.17</v>
          </cell>
        </row>
      </sheetData>
      <sheetData sheetId="6">
        <row r="5">
          <cell r="B5">
            <v>0.1</v>
          </cell>
          <cell r="E5" t="str">
            <v>Total Profit</v>
          </cell>
        </row>
        <row r="6">
          <cell r="D6">
            <v>0</v>
          </cell>
          <cell r="E6">
            <v>87559.767500000016</v>
          </cell>
        </row>
        <row r="7">
          <cell r="D7">
            <v>0.05</v>
          </cell>
          <cell r="E7">
            <v>77798.87950000001</v>
          </cell>
        </row>
        <row r="8">
          <cell r="D8">
            <v>0.1</v>
          </cell>
          <cell r="E8">
            <v>68037.991500000018</v>
          </cell>
        </row>
        <row r="9">
          <cell r="D9">
            <v>0.15</v>
          </cell>
          <cell r="E9">
            <v>58277.103500000027</v>
          </cell>
        </row>
        <row r="10">
          <cell r="D10">
            <v>0.2</v>
          </cell>
          <cell r="E10">
            <v>48516.21550000002</v>
          </cell>
        </row>
        <row r="11">
          <cell r="D11">
            <v>0.25</v>
          </cell>
          <cell r="E11">
            <v>38755.327500000029</v>
          </cell>
        </row>
        <row r="12">
          <cell r="D12">
            <v>0.3</v>
          </cell>
          <cell r="E12">
            <v>28994.439500000037</v>
          </cell>
        </row>
        <row r="17">
          <cell r="B17">
            <v>-249.01849999999104</v>
          </cell>
        </row>
        <row r="18">
          <cell r="B18">
            <v>-3.6466452404343226E-3</v>
          </cell>
        </row>
      </sheetData>
      <sheetData sheetId="7">
        <row r="6">
          <cell r="B6">
            <v>0.5981522996264409</v>
          </cell>
        </row>
        <row r="19">
          <cell r="B19">
            <v>0.35085598819512248</v>
          </cell>
        </row>
      </sheetData>
      <sheetData sheetId="8">
        <row r="21">
          <cell r="C21" t="str">
            <v>Frequency</v>
          </cell>
        </row>
        <row r="22">
          <cell r="B22" t="str">
            <v>0 – 250</v>
          </cell>
          <cell r="C22">
            <v>0</v>
          </cell>
        </row>
        <row r="23">
          <cell r="B23" t="str">
            <v>250 – 500</v>
          </cell>
          <cell r="C23">
            <v>11</v>
          </cell>
        </row>
        <row r="24">
          <cell r="B24" t="str">
            <v>500 – 750</v>
          </cell>
          <cell r="C24">
            <v>37</v>
          </cell>
        </row>
        <row r="25">
          <cell r="B25" t="str">
            <v>750 – 1000</v>
          </cell>
          <cell r="C25">
            <v>58</v>
          </cell>
        </row>
        <row r="26">
          <cell r="B26" t="str">
            <v>1000 – 1250</v>
          </cell>
          <cell r="C26">
            <v>60</v>
          </cell>
        </row>
        <row r="27">
          <cell r="B27" t="str">
            <v>1250 – 1500</v>
          </cell>
          <cell r="C27">
            <v>25</v>
          </cell>
        </row>
        <row r="28">
          <cell r="B28" t="str">
            <v>1500 – 1750</v>
          </cell>
          <cell r="C28">
            <v>8</v>
          </cell>
        </row>
        <row r="29">
          <cell r="B29" t="str">
            <v>1750 – 2000</v>
          </cell>
          <cell r="C29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DFF4CA-AC7C-41A1-BB72-22B1473C5882}" name="Table1" displayName="Table1" ref="A1:O201" totalsRowShown="0" headerRowDxfId="66" dataDxfId="97" headerRowBorderDxfId="95" tableBorderDxfId="96" totalsRowBorderDxfId="94">
  <autoFilter ref="A1:O201" xr:uid="{D2541374-EDB7-42D5-B883-4D3D4EE9DE83}"/>
  <tableColumns count="15">
    <tableColumn id="1" xr3:uid="{A92C0DC6-C899-4BED-A951-3C6939CC05C5}" name="Customer_ID" dataDxfId="93">
      <calculatedColumnFormula>[1]Dataset!A2</calculatedColumnFormula>
    </tableColumn>
    <tableColumn id="2" xr3:uid="{2E4F3AD1-8E17-4322-8EA2-65B61DCF1AD8}" name="Customer_Name" dataDxfId="92">
      <calculatedColumnFormula>[1]Dataset!B2</calculatedColumnFormula>
    </tableColumn>
    <tableColumn id="3" xr3:uid="{33C35BC9-1050-42E6-9FC1-71373593EF0D}" name="Region" dataDxfId="91">
      <calculatedColumnFormula>[1]Dataset!C2</calculatedColumnFormula>
    </tableColumn>
    <tableColumn id="4" xr3:uid="{5E9C2087-4AED-479F-B6A9-35DD06C4E291}" name="Product_Category" dataDxfId="90">
      <calculatedColumnFormula>[1]Dataset!D2</calculatedColumnFormula>
    </tableColumn>
    <tableColumn id="5" xr3:uid="{9E189B36-1ED2-4547-BBEF-8D22935D024D}" name="Sales" dataDxfId="89">
      <calculatedColumnFormula>[1]Dataset!E2</calculatedColumnFormula>
    </tableColumn>
    <tableColumn id="6" xr3:uid="{4A90964A-9581-4533-9360-85C688C3CD17}" name="Quantity" dataDxfId="88">
      <calculatedColumnFormula>[1]Dataset!F2</calculatedColumnFormula>
    </tableColumn>
    <tableColumn id="7" xr3:uid="{6426F5F5-71C9-4EF8-948E-91EFA854BE64}" name="Discount" dataDxfId="87">
      <calculatedColumnFormula>[1]Dataset!G2</calculatedColumnFormula>
    </tableColumn>
    <tableColumn id="8" xr3:uid="{D849E584-8179-4BD5-9372-3F54E59AF15F}" name="Order_Date" dataDxfId="86">
      <calculatedColumnFormula>[1]Dataset!H2</calculatedColumnFormula>
    </tableColumn>
    <tableColumn id="9" xr3:uid="{5AE564A9-5A5B-4245-A019-01A881581F06}" name="Profit" dataDxfId="85">
      <calculatedColumnFormula>[1]Dataset!I2</calculatedColumnFormula>
    </tableColumn>
    <tableColumn id="10" xr3:uid="{98CC65CA-971F-46EC-9DA1-18E5A7F1192D}" name="Discount Amount" dataDxfId="84">
      <calculatedColumnFormula>E2*G2</calculatedColumnFormula>
    </tableColumn>
    <tableColumn id="11" xr3:uid="{A66B62E1-2208-4BB1-863E-4E8CDC006733}" name="Total Purchase" dataDxfId="83">
      <calculatedColumnFormula>E2-J2</calculatedColumnFormula>
    </tableColumn>
    <tableColumn id="12" xr3:uid="{581170C7-FF8C-4860-AEC3-F0710E8863EF}" name="Profit Margin" dataDxfId="82">
      <calculatedColumnFormula>IF(E2=0,0,I2/E2)</calculatedColumnFormula>
    </tableColumn>
    <tableColumn id="13" xr3:uid="{8CAB8AF6-C3CF-417E-BB90-049CABBF50B5}" name="Profit Status" dataDxfId="81">
      <calculatedColumnFormula>IF(I2&gt;0,"Profit",IF(I2=0,"Break-even","Loss"))</calculatedColumnFormula>
    </tableColumn>
    <tableColumn id="14" xr3:uid="{104E92E0-6D49-4130-86EA-828538F435F1}" name="Order Month" dataDxfId="80">
      <calculatedColumnFormula>DATE(YEAR(H2),MONTH(H2),1)</calculatedColumnFormula>
    </tableColumn>
    <tableColumn id="15" xr3:uid="{E2DCDF7B-E8B3-405F-A639-35DF9FDA6303}" name="Timestamp" dataDxfId="79">
      <calculatedColumnFormula>NOW()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D159BD-5663-4565-8F32-5B9A2B481E19}" name="Table2" displayName="Table2" ref="A4:H36" totalsRowShown="0" headerRowDxfId="67" dataDxfId="68" headerRowBorderDxfId="77" tableBorderDxfId="78">
  <autoFilter ref="A4:H36" xr:uid="{E1D159BD-5663-4565-8F32-5B9A2B481E19}"/>
  <tableColumns count="8">
    <tableColumn id="1" xr3:uid="{FBDE00EF-38E6-45B1-B6A8-12E9486F0121}" name="Customer_ID" dataDxfId="76"/>
    <tableColumn id="2" xr3:uid="{CE3CEBAB-E51F-466E-A30A-810145D417D1}" name="Orders" dataDxfId="75"/>
    <tableColumn id="3" xr3:uid="{D39C3774-A57E-41FC-A12B-E93CA9F410D4}" name="Total Sales" dataDxfId="74"/>
    <tableColumn id="4" xr3:uid="{694A7EB4-10DC-4E79-BE02-02E6B7C7329E}" name="Total Purchase" dataDxfId="73"/>
    <tableColumn id="5" xr3:uid="{FEA6EBC8-8073-43CB-A1A3-1F9421F0ABDC}" name="Total Profit" dataDxfId="72"/>
    <tableColumn id="6" xr3:uid="{D82593A7-4092-4D26-88D0-B6BA83286451}" name="Avg Purchase / Order" dataDxfId="71"/>
    <tableColumn id="7" xr3:uid="{C1C36A20-66AA-4AC7-9D62-DBC61FE39FC2}" name="Rank" dataDxfId="70"/>
    <tableColumn id="8" xr3:uid="{60298BDE-F212-4453-BFD1-1FC1AA2FD927}" name="Customer Tier" dataDxfId="6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C3EBFF-A308-4ECD-A9E8-314611B5CC37}" name="Table3" displayName="Table3" ref="A12:G18" totalsRowShown="0" headerRowDxfId="54" dataDxfId="55" headerRowBorderDxfId="64" tableBorderDxfId="65" totalsRowBorderDxfId="63">
  <autoFilter ref="A12:G18" xr:uid="{B6C3EBFF-A308-4ECD-A9E8-314611B5CC37}"/>
  <tableColumns count="7">
    <tableColumn id="1" xr3:uid="{659820C9-75F0-41BC-A970-2263F0C47101}" name="Region" dataDxfId="62"/>
    <tableColumn id="2" xr3:uid="{8FB2F968-6CF7-44BE-9501-4712C6D9CC38}" name="Books" dataDxfId="61"/>
    <tableColumn id="3" xr3:uid="{A799B141-FE32-428E-AB1B-B1919E7C395B}" name="Clothing" dataDxfId="60"/>
    <tableColumn id="4" xr3:uid="{FA527F46-A095-4B9D-BD47-C7461BE9889C}" name="Electronics" dataDxfId="59"/>
    <tableColumn id="5" xr3:uid="{8BC801F8-7C7F-4A27-9736-CBEEE8BAF114}" name="Furniture" dataDxfId="58"/>
    <tableColumn id="6" xr3:uid="{7746052B-2A71-4A4F-9224-0B4BC4BFF5FE}" name="Office Supplies" dataDxfId="57"/>
    <tableColumn id="7" xr3:uid="{A4042E27-2F65-43AC-BD21-A37FAAC97750}" name="Grand Total" dataDxfId="56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EEE3E5-B30E-4E37-8006-305273834A8C}" name="Table5" displayName="Table5" ref="A3:C9" totalsRowShown="0" headerRowDxfId="41" headerRowBorderDxfId="46" tableBorderDxfId="47" totalsRowBorderDxfId="45">
  <autoFilter ref="A3:C9" xr:uid="{F9EEE3E5-B30E-4E37-8006-305273834A8C}"/>
  <tableColumns count="3">
    <tableColumn id="1" xr3:uid="{9C99B2AB-BC3C-47DF-9CFD-2397DA28C4FF}" name="Region" dataDxfId="44"/>
    <tableColumn id="2" xr3:uid="{D71E98EF-CBC7-4897-BB48-10D797AF8BF5}" name="Total Sales" dataDxfId="43"/>
    <tableColumn id="3" xr3:uid="{53F66ADD-2D6D-4E06-95C3-92E24E64FE4C}" name="% of Sales" dataDxfId="42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5A7D44-9F81-4286-8020-5C96D6457163}" name="Table6" displayName="Table6" ref="E3:G9" totalsRowShown="0" headerRowDxfId="34" headerRowBorderDxfId="39" tableBorderDxfId="40" totalsRowBorderDxfId="38">
  <autoFilter ref="E3:G9" xr:uid="{795A7D44-9F81-4286-8020-5C96D6457163}"/>
  <tableColumns count="3">
    <tableColumn id="1" xr3:uid="{F4F6FA63-AE52-497B-B790-AB18F1EA4B62}" name="Product Category" dataDxfId="37"/>
    <tableColumn id="2" xr3:uid="{21F19E27-5814-4F92-BE38-FE9DB655C7C8}" name="Total Sales" dataDxfId="36"/>
    <tableColumn id="3" xr3:uid="{27DC1A1E-9548-469D-90CA-68620B0DFE12}" name="% of Sales" dataDxfId="35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8BC394-C76F-411D-9678-7295B7A1467F}" name="Table7" displayName="Table7" ref="A22:F36" totalsRowShown="0" headerRowDxfId="24" headerRowBorderDxfId="32" tableBorderDxfId="33" totalsRowBorderDxfId="31">
  <autoFilter ref="A22:F36" xr:uid="{D28BC394-C76F-411D-9678-7295B7A1467F}"/>
  <tableColumns count="6">
    <tableColumn id="1" xr3:uid="{A62F7419-1855-4F41-803D-7A9CB5A9276F}" name="Month" dataDxfId="30"/>
    <tableColumn id="2" xr3:uid="{40172D76-5790-44CF-8AC9-9E759C50CAF1}" name="Month Start" dataDxfId="29"/>
    <tableColumn id="3" xr3:uid="{87D40DA1-D641-4629-B57E-7B87D0BA46D3}" name="Total Sales" dataDxfId="28"/>
    <tableColumn id="4" xr3:uid="{1C6ABBDF-3024-4882-8D0B-D249E6354BFE}" name="Growth % (MoM)" dataDxfId="27"/>
    <tableColumn id="5" xr3:uid="{C76E114F-4B54-450A-8904-5BB1BC5F27DC}" name="Orders" dataDxfId="26"/>
    <tableColumn id="6" xr3:uid="{F6EBA08D-BEFE-48A7-92EA-CA1986898FC3}" name="Profit" dataDxfId="25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E95D04-703E-4CC0-9055-C346881C25A8}" name="Table8" displayName="Table8" ref="D5:G12" totalsRowShown="0" headerRowDxfId="16" headerRowBorderDxfId="22" tableBorderDxfId="23" totalsRowBorderDxfId="21">
  <autoFilter ref="D5:G12" xr:uid="{BAE95D04-703E-4CC0-9055-C346881C25A8}"/>
  <tableColumns count="4">
    <tableColumn id="1" xr3:uid="{3480EDCD-5005-4DBB-9E18-8B876594EB7F}" name="Discount Rate" dataDxfId="20"/>
    <tableColumn id="2" xr3:uid="{58464F42-C398-458F-B7B6-D4B50E64B8C3}" name="Total Profit" dataDxfId="19">
      <calculatedColumnFormula>$B$11-($B$8*D6-$B$9)</calculatedColumnFormula>
    </tableColumn>
    <tableColumn id="3" xr3:uid="{F70D487B-21DB-4CF0-8BAA-8075C23D00B8}" name="Change vs Current" dataDxfId="18">
      <calculatedColumnFormula>E6-$B$11</calculatedColumnFormula>
    </tableColumn>
    <tableColumn id="4" xr3:uid="{1DBB1482-0E93-4227-905A-4E462307907C}" name="% Change" dataDxfId="17">
      <calculatedColumnFormula>IF($B$11=0,0,F6/$B$11)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A73815-39E0-4E91-A779-F1A04C40A33B}" name="Table9" displayName="Table9" ref="A4:D18" totalsRowShown="0" headerRowDxfId="8" headerRowBorderDxfId="14" tableBorderDxfId="15" totalsRowBorderDxfId="13">
  <autoFilter ref="A4:D18" xr:uid="{22A73815-39E0-4E91-A779-F1A04C40A33B}"/>
  <tableColumns count="4">
    <tableColumn id="1" xr3:uid="{1DB2DA8F-2DF7-4FEF-B719-E60EB5C679E1}" name="Statistic" dataDxfId="12"/>
    <tableColumn id="2" xr3:uid="{7856617A-D269-449E-9D1A-24240566BB5A}" name="Sales" dataDxfId="11"/>
    <tableColumn id="3" xr3:uid="{622E801B-9C74-4A8A-9485-319B4047EE14}" name="Quantity" dataDxfId="10"/>
    <tableColumn id="4" xr3:uid="{2B90A1DE-E686-4E37-974E-1E7A8CF9BA92}" name="Profit" dataDxfId="9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018363-70A4-4196-8BAD-1D5639713B3E}" name="Table10" displayName="Table10" ref="A21:D30" totalsRowShown="0" headerRowDxfId="0" headerRowBorderDxfId="6" tableBorderDxfId="7" totalsRowBorderDxfId="5">
  <autoFilter ref="A21:D30" xr:uid="{B8018363-70A4-4196-8BAD-1D5639713B3E}"/>
  <tableColumns count="4">
    <tableColumn id="1" xr3:uid="{1E462240-F5A3-4808-BC85-209ACB974B83}" name="Bin (upper limit)" dataDxfId="4"/>
    <tableColumn id="2" xr3:uid="{FA19CD29-0A28-4FE1-9EE4-3EC16806B3B5}" name="Sales Range" dataDxfId="3"/>
    <tableColumn id="3" xr3:uid="{78471CA8-66D5-409C-BADF-220E716467BB}" name="Frequency" dataDxfId="2"/>
    <tableColumn id="4" xr3:uid="{893B4257-F3EF-437E-B017-38309905016C}" name="Cumulative %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168D-3F4B-4645-8677-7673FC647DB2}">
  <dimension ref="B1:M16"/>
  <sheetViews>
    <sheetView tabSelected="1" workbookViewId="0">
      <selection activeCell="B11" sqref="B11:M16"/>
    </sheetView>
  </sheetViews>
  <sheetFormatPr defaultRowHeight="15" x14ac:dyDescent="0.25"/>
  <cols>
    <col min="1" max="1" width="2" customWidth="1"/>
    <col min="2" max="13" width="12.42578125" customWidth="1"/>
  </cols>
  <sheetData>
    <row r="1" spans="2:13" ht="27.75" x14ac:dyDescent="0.4">
      <c r="B1" s="37" t="s">
        <v>149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2:13" x14ac:dyDescent="0.25">
      <c r="B2" s="39" t="str">
        <f ca="1">"Period: "&amp;TEXT(MIN([1]Dataset!$H$2:$H$201),"dd mmm yyyy")&amp;" to "&amp;TEXT(MAX([1]Dataset!$H$2:$H$201),"dd mmm yyyy")&amp;"   |   Report generated: "&amp;TEXT(NOW(),"dd mmm yyyy hh:mm")</f>
        <v>Period: 10 Apr 2024 to 07 Apr 2025   |   Report generated: 22 Oct 2026 23:05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4" spans="2:13" x14ac:dyDescent="0.25">
      <c r="B4" s="40" t="s">
        <v>18</v>
      </c>
      <c r="C4" s="41"/>
      <c r="D4" s="40" t="s">
        <v>150</v>
      </c>
      <c r="E4" s="41"/>
      <c r="F4" s="40" t="s">
        <v>19</v>
      </c>
      <c r="G4" s="41"/>
      <c r="H4" s="40" t="s">
        <v>11</v>
      </c>
      <c r="I4" s="41"/>
      <c r="J4" s="40" t="s">
        <v>151</v>
      </c>
      <c r="K4" s="41"/>
      <c r="L4" s="40" t="s">
        <v>152</v>
      </c>
      <c r="M4" s="41"/>
    </row>
    <row r="5" spans="2:13" ht="20.25" x14ac:dyDescent="0.25">
      <c r="B5" s="42">
        <f>SUM([1]Dataset!$E$2:$E$201)</f>
        <v>195217.75999999992</v>
      </c>
      <c r="C5" s="43"/>
      <c r="D5" s="42">
        <f>COUNTA([1]Dataset!$A$2:$A$201)</f>
        <v>200</v>
      </c>
      <c r="E5" s="43"/>
      <c r="F5" s="42">
        <f>SUM([1]Dataset!$I$2:$I$201)</f>
        <v>68287.010000000009</v>
      </c>
      <c r="G5" s="43"/>
      <c r="H5" s="44">
        <f>SUM([1]Dataset!$I$2:$I$201)/SUM([1]Dataset!$E$2:$E$201)</f>
        <v>0.34979916786259629</v>
      </c>
      <c r="I5" s="43"/>
      <c r="J5" s="45">
        <f>SUM([1]Dataset!$E$2:$E$201)/COUNTA([1]Dataset!$A$2:$A$201)</f>
        <v>976.08879999999965</v>
      </c>
      <c r="K5" s="43"/>
      <c r="L5" s="45">
        <f>MAX([1]Dataset!$E$2:$E$201)</f>
        <v>1923.66</v>
      </c>
      <c r="M5" s="43"/>
    </row>
    <row r="7" spans="2:13" x14ac:dyDescent="0.25">
      <c r="B7" s="40" t="s">
        <v>153</v>
      </c>
      <c r="C7" s="41"/>
      <c r="D7" s="40" t="s">
        <v>154</v>
      </c>
      <c r="E7" s="41"/>
      <c r="F7" s="40" t="s">
        <v>155</v>
      </c>
      <c r="G7" s="41"/>
      <c r="H7" s="40" t="s">
        <v>156</v>
      </c>
      <c r="I7" s="41"/>
      <c r="J7" s="40" t="s">
        <v>157</v>
      </c>
      <c r="K7" s="41"/>
      <c r="L7" s="40" t="s">
        <v>158</v>
      </c>
      <c r="M7" s="41"/>
    </row>
    <row r="8" spans="2:13" ht="20.25" x14ac:dyDescent="0.25">
      <c r="B8" s="42">
        <f>SUM([1]Analysis!$J$2:$J$201)</f>
        <v>19272.7575</v>
      </c>
      <c r="C8" s="43"/>
      <c r="D8" s="44">
        <f>SUMPRODUCT([1]Dataset!$E$2:$E$201,[1]Dataset!$G$2:$G$201)/SUM([1]Dataset!$E$2:$E$201)</f>
        <v>9.8724406529405964E-2</v>
      </c>
      <c r="E8" s="43"/>
      <c r="F8" s="46" t="str">
        <f>[1]Customers!K8</f>
        <v>CUST015</v>
      </c>
      <c r="G8" s="43"/>
      <c r="H8" s="46" t="str">
        <f>INDEX('[1]Pivot Summary'!$A$4:$A$8,MATCH(MAX('[1]Pivot Summary'!$B$4:$B$8),'[1]Pivot Summary'!$B$4:$B$8,0))</f>
        <v>West</v>
      </c>
      <c r="I8" s="43"/>
      <c r="J8" s="46" t="str">
        <f>INDEX('[1]Pivot Summary'!$E$4:$E$8,MATCH(MAX('[1]Pivot Summary'!$F$4:$F$8),'[1]Pivot Summary'!$F$4:$F$8,0))</f>
        <v>Books</v>
      </c>
      <c r="K8" s="43"/>
      <c r="L8" s="46" t="str">
        <f>INDEX('[1]Pivot Summary'!$A$23:$A$35,MATCH(MAX('[1]Pivot Summary'!$C$23:$C$35),'[1]Pivot Summary'!$C$23:$C$35,0))</f>
        <v>Sep 2024</v>
      </c>
      <c r="M8" s="43"/>
    </row>
    <row r="10" spans="2:13" ht="15.75" x14ac:dyDescent="0.25">
      <c r="B10" s="47" t="s">
        <v>159</v>
      </c>
    </row>
    <row r="11" spans="2:13" ht="18" customHeight="1" x14ac:dyDescent="0.25">
      <c r="B11" s="88" t="str">
        <f>"1. "&amp;INDEX('[1]Pivot Summary'!$A$4:$A$8,MATCH(MAX('[1]Pivot Summary'!$B$4:$B$8),'[1]Pivot Summary'!$B$4:$B$8,0))&amp;" is the top region with "&amp;TEXT(MAX('[1]Pivot Summary'!$B$4:$B$8),"#,##0")&amp;" in sales ("&amp;TEXT(MAX('[1]Pivot Summary'!$B$4:$B$8)/SUM('[1]Pivot Summary'!$B$4:$B$8),"0.0%")&amp;" of total); "&amp;INDEX('[1]Pivot Summary'!$A$4:$A$8,MATCH(MIN('[1]Pivot Summary'!$B$4:$B$8),'[1]Pivot Summary'!$B$4:$B$8,0))&amp;" is the weakest."</f>
        <v>1. West is the top region with 44,084 in sales (22.6% of total); East is the weakest.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</row>
    <row r="12" spans="2:13" ht="18" customHeight="1" x14ac:dyDescent="0.25">
      <c r="B12" s="88" t="str">
        <f>"2. "&amp;INDEX('[1]Pivot Summary'!$E$4:$E$8,MATCH(MAX('[1]Pivot Summary'!$F$4:$F$8),'[1]Pivot Summary'!$F$4:$F$8,0))&amp;" leads the product categories ("&amp;TEXT(MAX('[1]Pivot Summary'!$F$4:$F$8)/SUM('[1]Pivot Summary'!$F$4:$F$8),"0.0%")&amp;" of sales); "&amp;INDEX('[1]Pivot Summary'!$E$4:$E$8,MATCH(MIN('[1]Pivot Summary'!$F$4:$F$8),'[1]Pivot Summary'!$F$4:$F$8,0))&amp;" contributes the least."</f>
        <v>2. Books leads the product categories (24.1% of sales); Office Supplies contributes the least.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</row>
    <row r="13" spans="2:13" ht="18" customHeight="1" x14ac:dyDescent="0.25">
      <c r="B13" s="88" t="str">
        <f>"3. Best month was "&amp;INDEX('[1]Pivot Summary'!$A$23:$A$35,MATCH(MAX('[1]Pivot Summary'!$C$23:$C$35),'[1]Pivot Summary'!$C$23:$C$35,0))&amp;" ("&amp;TEXT(MAX('[1]Pivot Summary'!$C$23:$C$35),"#,##0")&amp;"); weakest was "&amp;INDEX('[1]Pivot Summary'!$A$23:$A$35,MATCH(MIN('[1]Pivot Summary'!$C$23:$C$35),'[1]Pivot Summary'!$C$23:$C$35,0))&amp;" ("&amp;TEXT(MIN('[1]Pivot Summary'!$C$23:$C$35),"#,##0")&amp;")."</f>
        <v>3. Best month was Sep 2024 (20,534); weakest was Apr 2025 (3,212).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</row>
    <row r="14" spans="2:13" ht="18" customHeight="1" x14ac:dyDescent="0.25">
      <c r="B14" s="88" t="str">
        <f>"4. Top 10 customers generate "&amp;TEXT([1]Customers!M18,"0.0%")&amp;" of all purchases; #1 customer is "&amp;[1]Customers!K8&amp;" with "&amp;TEXT([1]Customers!L8,"#,##0")&amp;"."</f>
        <v>4. Top 10 customers generate 47.4% of all purchases; #1 customer is CUST015 with 10,167.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</row>
    <row r="15" spans="2:13" ht="18" customHeight="1" x14ac:dyDescent="0.25">
      <c r="B15" s="88" t="str">
        <f>"5. Regression: each extra 1 of Sales adds about "&amp;TEXT([1]Regression!B19,"0.00")&amp;" profit (R² = "&amp;TEXT([1]Regression!B6,"0.00")&amp;")."</f>
        <v>5. Regression: each extra 1 of Sales adds about 0.35 profit (R² = 0.60).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</row>
    <row r="16" spans="2:13" ht="18" customHeight="1" x14ac:dyDescent="0.25">
      <c r="B16" s="88" t="str">
        <f>"6. What-if: a flat "&amp;TEXT('[1]What-If'!B5,"0%")&amp;" discount would change total profit by "&amp;TEXT('[1]What-If'!B17,"#,##0")&amp;" ("&amp;TEXT('[1]What-If'!B18,"0.0%")&amp;") versus today."</f>
        <v>6. What-if: a flat 10% discount would change total profit by -249 (-0.4%) versus today.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</row>
  </sheetData>
  <mergeCells count="30">
    <mergeCell ref="B11:M11"/>
    <mergeCell ref="B12:M12"/>
    <mergeCell ref="B13:M13"/>
    <mergeCell ref="B14:M14"/>
    <mergeCell ref="B15:M15"/>
    <mergeCell ref="B16:M16"/>
    <mergeCell ref="B8:C8"/>
    <mergeCell ref="D8:E8"/>
    <mergeCell ref="F8:G8"/>
    <mergeCell ref="H8:I8"/>
    <mergeCell ref="J8:K8"/>
    <mergeCell ref="L8:M8"/>
    <mergeCell ref="B7:C7"/>
    <mergeCell ref="D7:E7"/>
    <mergeCell ref="F7:G7"/>
    <mergeCell ref="H7:I7"/>
    <mergeCell ref="J7:K7"/>
    <mergeCell ref="L7:M7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1374-EDB7-42D5-B883-4D3D4EE9DE83}">
  <dimension ref="A1:O201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2" max="2" width="19" customWidth="1"/>
    <col min="3" max="3" width="11" customWidth="1"/>
    <col min="4" max="4" width="19.28515625" customWidth="1"/>
    <col min="5" max="5" width="12" customWidth="1"/>
    <col min="6" max="6" width="10.7109375" customWidth="1"/>
    <col min="7" max="7" width="10.85546875" customWidth="1"/>
    <col min="8" max="8" width="14" customWidth="1"/>
    <col min="9" max="9" width="12" customWidth="1"/>
    <col min="10" max="10" width="18.42578125" customWidth="1"/>
    <col min="11" max="11" width="16.7109375" customWidth="1"/>
    <col min="12" max="12" width="14.85546875" customWidth="1"/>
    <col min="13" max="13" width="14.140625" customWidth="1"/>
    <col min="14" max="14" width="14.42578125" customWidth="1"/>
    <col min="15" max="15" width="21" customWidth="1"/>
  </cols>
  <sheetData>
    <row r="1" spans="1:15" ht="30" customHeight="1" x14ac:dyDescent="0.25">
      <c r="A1" s="60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61" t="s">
        <v>14</v>
      </c>
    </row>
    <row r="2" spans="1:15" x14ac:dyDescent="0.25">
      <c r="A2" s="48" t="str">
        <f>[1]Dataset!A2</f>
        <v>CUST019</v>
      </c>
      <c r="B2" s="2" t="str">
        <f>[1]Dataset!B2</f>
        <v>James Davis</v>
      </c>
      <c r="C2" s="2" t="str">
        <f>[1]Dataset!C2</f>
        <v>West</v>
      </c>
      <c r="D2" s="2" t="str">
        <f>[1]Dataset!D2</f>
        <v>Books</v>
      </c>
      <c r="E2" s="3">
        <f>[1]Dataset!E2</f>
        <v>1036.0899999999999</v>
      </c>
      <c r="F2" s="4">
        <f>[1]Dataset!F2</f>
        <v>4</v>
      </c>
      <c r="G2" s="5">
        <f>[1]Dataset!G2</f>
        <v>0.2</v>
      </c>
      <c r="H2" s="6">
        <f>[1]Dataset!H2</f>
        <v>45392</v>
      </c>
      <c r="I2" s="3">
        <f>[1]Dataset!I2</f>
        <v>331.55</v>
      </c>
      <c r="J2" s="3">
        <f t="shared" ref="J2:J65" si="0">E2*G2</f>
        <v>207.21799999999999</v>
      </c>
      <c r="K2" s="3">
        <f t="shared" ref="K2:K65" si="1">E2-J2</f>
        <v>828.87199999999996</v>
      </c>
      <c r="L2" s="7">
        <f t="shared" ref="L2:L65" si="2">IF(E2=0,0,I2/E2)</f>
        <v>0.32000115820054248</v>
      </c>
      <c r="M2" s="2" t="str">
        <f t="shared" ref="M2:M65" si="3">IF(I2&gt;0,"Profit",IF(I2=0,"Break-even","Loss"))</f>
        <v>Profit</v>
      </c>
      <c r="N2" s="8">
        <f t="shared" ref="N2:N65" si="4">DATE(YEAR(H2),MONTH(H2),1)</f>
        <v>45383</v>
      </c>
      <c r="O2" s="49">
        <f t="shared" ref="O2:O65" ca="1" si="5">NOW()</f>
        <v>46317.962422337965</v>
      </c>
    </row>
    <row r="3" spans="1:15" x14ac:dyDescent="0.25">
      <c r="A3" s="48" t="str">
        <f>[1]Dataset!A3</f>
        <v>CUST012</v>
      </c>
      <c r="B3" s="2" t="str">
        <f>[1]Dataset!B3</f>
        <v>Robert Anderson</v>
      </c>
      <c r="C3" s="2" t="str">
        <f>[1]Dataset!C3</f>
        <v>West</v>
      </c>
      <c r="D3" s="2" t="str">
        <f>[1]Dataset!D3</f>
        <v>Clothing</v>
      </c>
      <c r="E3" s="3">
        <f>[1]Dataset!E3</f>
        <v>1101.28</v>
      </c>
      <c r="F3" s="4">
        <f>[1]Dataset!F3</f>
        <v>3</v>
      </c>
      <c r="G3" s="5">
        <f>[1]Dataset!G3</f>
        <v>0.2</v>
      </c>
      <c r="H3" s="6">
        <f>[1]Dataset!H3</f>
        <v>45393</v>
      </c>
      <c r="I3" s="3">
        <f>[1]Dataset!I3</f>
        <v>440.51</v>
      </c>
      <c r="J3" s="3">
        <f t="shared" si="0"/>
        <v>220.256</v>
      </c>
      <c r="K3" s="3">
        <f t="shared" si="1"/>
        <v>881.024</v>
      </c>
      <c r="L3" s="7">
        <f t="shared" si="2"/>
        <v>0.39999818393142528</v>
      </c>
      <c r="M3" s="2" t="str">
        <f t="shared" si="3"/>
        <v>Profit</v>
      </c>
      <c r="N3" s="8">
        <f t="shared" si="4"/>
        <v>45383</v>
      </c>
      <c r="O3" s="49">
        <f t="shared" ca="1" si="5"/>
        <v>46317.962422337965</v>
      </c>
    </row>
    <row r="4" spans="1:15" x14ac:dyDescent="0.25">
      <c r="A4" s="48" t="str">
        <f>[1]Dataset!A4</f>
        <v>CUST017</v>
      </c>
      <c r="B4" s="2" t="str">
        <f>[1]Dataset!B4</f>
        <v>James Taylor</v>
      </c>
      <c r="C4" s="2" t="str">
        <f>[1]Dataset!C4</f>
        <v>East</v>
      </c>
      <c r="D4" s="2" t="str">
        <f>[1]Dataset!D4</f>
        <v>Books</v>
      </c>
      <c r="E4" s="3">
        <f>[1]Dataset!E4</f>
        <v>713.34</v>
      </c>
      <c r="F4" s="4">
        <f>[1]Dataset!F4</f>
        <v>17</v>
      </c>
      <c r="G4" s="5">
        <f>[1]Dataset!G4</f>
        <v>0</v>
      </c>
      <c r="H4" s="6">
        <f>[1]Dataset!H4</f>
        <v>45396</v>
      </c>
      <c r="I4" s="3">
        <f>[1]Dataset!I4</f>
        <v>285.33999999999997</v>
      </c>
      <c r="J4" s="3">
        <f t="shared" si="0"/>
        <v>0</v>
      </c>
      <c r="K4" s="3">
        <f t="shared" si="1"/>
        <v>713.34</v>
      </c>
      <c r="L4" s="7">
        <f t="shared" si="2"/>
        <v>0.40000560742422964</v>
      </c>
      <c r="M4" s="2" t="str">
        <f t="shared" si="3"/>
        <v>Profit</v>
      </c>
      <c r="N4" s="8">
        <f t="shared" si="4"/>
        <v>45383</v>
      </c>
      <c r="O4" s="49">
        <f t="shared" ca="1" si="5"/>
        <v>46317.962422337965</v>
      </c>
    </row>
    <row r="5" spans="1:15" x14ac:dyDescent="0.25">
      <c r="A5" s="48" t="str">
        <f>[1]Dataset!A5</f>
        <v>CUST005</v>
      </c>
      <c r="B5" s="2" t="str">
        <f>[1]Dataset!B5</f>
        <v>Robert Anderson</v>
      </c>
      <c r="C5" s="2" t="str">
        <f>[1]Dataset!C5</f>
        <v>South</v>
      </c>
      <c r="D5" s="2" t="str">
        <f>[1]Dataset!D5</f>
        <v>Electronics</v>
      </c>
      <c r="E5" s="3">
        <f>[1]Dataset!E5</f>
        <v>760.93</v>
      </c>
      <c r="F5" s="4">
        <f>[1]Dataset!F5</f>
        <v>4</v>
      </c>
      <c r="G5" s="5">
        <f>[1]Dataset!G5</f>
        <v>0.15</v>
      </c>
      <c r="H5" s="6">
        <f>[1]Dataset!H5</f>
        <v>45396</v>
      </c>
      <c r="I5" s="3">
        <f>[1]Dataset!I5</f>
        <v>161.69999999999999</v>
      </c>
      <c r="J5" s="3">
        <f t="shared" si="0"/>
        <v>114.13949999999998</v>
      </c>
      <c r="K5" s="3">
        <f t="shared" si="1"/>
        <v>646.79049999999995</v>
      </c>
      <c r="L5" s="7">
        <f t="shared" si="2"/>
        <v>0.2125031211806605</v>
      </c>
      <c r="M5" s="2" t="str">
        <f t="shared" si="3"/>
        <v>Profit</v>
      </c>
      <c r="N5" s="8">
        <f t="shared" si="4"/>
        <v>45383</v>
      </c>
      <c r="O5" s="49">
        <f t="shared" ca="1" si="5"/>
        <v>46317.962422337965</v>
      </c>
    </row>
    <row r="6" spans="1:15" x14ac:dyDescent="0.25">
      <c r="A6" s="48" t="str">
        <f>[1]Dataset!A6</f>
        <v>CUST030</v>
      </c>
      <c r="B6" s="2" t="str">
        <f>[1]Dataset!B6</f>
        <v>James Wilson</v>
      </c>
      <c r="C6" s="2" t="str">
        <f>[1]Dataset!C6</f>
        <v>North</v>
      </c>
      <c r="D6" s="2" t="str">
        <f>[1]Dataset!D6</f>
        <v>Books</v>
      </c>
      <c r="E6" s="3">
        <f>[1]Dataset!E6</f>
        <v>847</v>
      </c>
      <c r="F6" s="4">
        <f>[1]Dataset!F6</f>
        <v>12</v>
      </c>
      <c r="G6" s="5">
        <f>[1]Dataset!G6</f>
        <v>0.2</v>
      </c>
      <c r="H6" s="6">
        <f>[1]Dataset!H6</f>
        <v>45397</v>
      </c>
      <c r="I6" s="3">
        <f>[1]Dataset!I6</f>
        <v>271.04000000000002</v>
      </c>
      <c r="J6" s="3">
        <f t="shared" si="0"/>
        <v>169.4</v>
      </c>
      <c r="K6" s="3">
        <f t="shared" si="1"/>
        <v>677.6</v>
      </c>
      <c r="L6" s="7">
        <f t="shared" si="2"/>
        <v>0.32</v>
      </c>
      <c r="M6" s="2" t="str">
        <f t="shared" si="3"/>
        <v>Profit</v>
      </c>
      <c r="N6" s="8">
        <f t="shared" si="4"/>
        <v>45383</v>
      </c>
      <c r="O6" s="49">
        <f t="shared" ca="1" si="5"/>
        <v>46317.962422337965</v>
      </c>
    </row>
    <row r="7" spans="1:15" x14ac:dyDescent="0.25">
      <c r="A7" s="48" t="str">
        <f>[1]Dataset!A7</f>
        <v>CUST007</v>
      </c>
      <c r="B7" s="2" t="str">
        <f>[1]Dataset!B7</f>
        <v>Michael Anderson</v>
      </c>
      <c r="C7" s="2" t="str">
        <f>[1]Dataset!C7</f>
        <v>North</v>
      </c>
      <c r="D7" s="2" t="str">
        <f>[1]Dataset!D7</f>
        <v>Furniture</v>
      </c>
      <c r="E7" s="3">
        <f>[1]Dataset!E7</f>
        <v>965.64</v>
      </c>
      <c r="F7" s="4">
        <f>[1]Dataset!F7</f>
        <v>8</v>
      </c>
      <c r="G7" s="5">
        <f>[1]Dataset!G7</f>
        <v>0.1</v>
      </c>
      <c r="H7" s="6">
        <f>[1]Dataset!H7</f>
        <v>45398</v>
      </c>
      <c r="I7" s="3">
        <f>[1]Dataset!I7</f>
        <v>304.18</v>
      </c>
      <c r="J7" s="3">
        <f t="shared" si="0"/>
        <v>96.564000000000007</v>
      </c>
      <c r="K7" s="3">
        <f t="shared" si="1"/>
        <v>869.07600000000002</v>
      </c>
      <c r="L7" s="7">
        <f t="shared" si="2"/>
        <v>0.31500352098090389</v>
      </c>
      <c r="M7" s="2" t="str">
        <f t="shared" si="3"/>
        <v>Profit</v>
      </c>
      <c r="N7" s="8">
        <f t="shared" si="4"/>
        <v>45383</v>
      </c>
      <c r="O7" s="49">
        <f t="shared" ca="1" si="5"/>
        <v>46317.962422337965</v>
      </c>
    </row>
    <row r="8" spans="1:15" x14ac:dyDescent="0.25">
      <c r="A8" s="48" t="str">
        <f>[1]Dataset!A8</f>
        <v>CUST001</v>
      </c>
      <c r="B8" s="2" t="str">
        <f>[1]Dataset!B8</f>
        <v>Linda Wilson</v>
      </c>
      <c r="C8" s="2" t="str">
        <f>[1]Dataset!C8</f>
        <v>West</v>
      </c>
      <c r="D8" s="2" t="str">
        <f>[1]Dataset!D8</f>
        <v>Electronics</v>
      </c>
      <c r="E8" s="3">
        <f>[1]Dataset!E8</f>
        <v>1317.53</v>
      </c>
      <c r="F8" s="4">
        <f>[1]Dataset!F8</f>
        <v>12</v>
      </c>
      <c r="G8" s="5">
        <f>[1]Dataset!G8</f>
        <v>0.05</v>
      </c>
      <c r="H8" s="6">
        <f>[1]Dataset!H8</f>
        <v>45398</v>
      </c>
      <c r="I8" s="3">
        <f>[1]Dataset!I8</f>
        <v>312.91000000000003</v>
      </c>
      <c r="J8" s="3">
        <f t="shared" si="0"/>
        <v>65.876500000000007</v>
      </c>
      <c r="K8" s="3">
        <f t="shared" si="1"/>
        <v>1251.6534999999999</v>
      </c>
      <c r="L8" s="7">
        <f t="shared" si="2"/>
        <v>0.23749743838849971</v>
      </c>
      <c r="M8" s="2" t="str">
        <f t="shared" si="3"/>
        <v>Profit</v>
      </c>
      <c r="N8" s="8">
        <f t="shared" si="4"/>
        <v>45383</v>
      </c>
      <c r="O8" s="49">
        <f t="shared" ca="1" si="5"/>
        <v>46317.962422337965</v>
      </c>
    </row>
    <row r="9" spans="1:15" x14ac:dyDescent="0.25">
      <c r="A9" s="48" t="str">
        <f>[1]Dataset!A9</f>
        <v>CUST026</v>
      </c>
      <c r="B9" s="2" t="str">
        <f>[1]Dataset!B9</f>
        <v>Mary Davis</v>
      </c>
      <c r="C9" s="2" t="str">
        <f>[1]Dataset!C9</f>
        <v>East</v>
      </c>
      <c r="D9" s="2" t="str">
        <f>[1]Dataset!D9</f>
        <v>Furniture</v>
      </c>
      <c r="E9" s="3">
        <f>[1]Dataset!E9</f>
        <v>1074.47</v>
      </c>
      <c r="F9" s="4">
        <f>[1]Dataset!F9</f>
        <v>6</v>
      </c>
      <c r="G9" s="5">
        <f>[1]Dataset!G9</f>
        <v>0.2</v>
      </c>
      <c r="H9" s="6">
        <f>[1]Dataset!H9</f>
        <v>45401</v>
      </c>
      <c r="I9" s="3">
        <f>[1]Dataset!I9</f>
        <v>300.85000000000002</v>
      </c>
      <c r="J9" s="3">
        <f t="shared" si="0"/>
        <v>214.89400000000001</v>
      </c>
      <c r="K9" s="3">
        <f t="shared" si="1"/>
        <v>859.57600000000002</v>
      </c>
      <c r="L9" s="7">
        <f t="shared" si="2"/>
        <v>0.279998510893743</v>
      </c>
      <c r="M9" s="2" t="str">
        <f t="shared" si="3"/>
        <v>Profit</v>
      </c>
      <c r="N9" s="8">
        <f t="shared" si="4"/>
        <v>45383</v>
      </c>
      <c r="O9" s="49">
        <f t="shared" ca="1" si="5"/>
        <v>46317.962422337965</v>
      </c>
    </row>
    <row r="10" spans="1:15" x14ac:dyDescent="0.25">
      <c r="A10" s="48" t="str">
        <f>[1]Dataset!A10</f>
        <v>CUST009</v>
      </c>
      <c r="B10" s="2" t="str">
        <f>[1]Dataset!B10</f>
        <v>Linda Jackson</v>
      </c>
      <c r="C10" s="2" t="str">
        <f>[1]Dataset!C10</f>
        <v>Central</v>
      </c>
      <c r="D10" s="2" t="str">
        <f>[1]Dataset!D10</f>
        <v>Books</v>
      </c>
      <c r="E10" s="3">
        <f>[1]Dataset!E10</f>
        <v>501.54</v>
      </c>
      <c r="F10" s="4">
        <f>[1]Dataset!F10</f>
        <v>11</v>
      </c>
      <c r="G10" s="5">
        <f>[1]Dataset!G10</f>
        <v>0.05</v>
      </c>
      <c r="H10" s="6">
        <f>[1]Dataset!H10</f>
        <v>45401</v>
      </c>
      <c r="I10" s="3">
        <f>[1]Dataset!I10</f>
        <v>190.59</v>
      </c>
      <c r="J10" s="3">
        <f t="shared" si="0"/>
        <v>25.077000000000002</v>
      </c>
      <c r="K10" s="3">
        <f t="shared" si="1"/>
        <v>476.46300000000002</v>
      </c>
      <c r="L10" s="7">
        <f t="shared" si="2"/>
        <v>0.38000957052278977</v>
      </c>
      <c r="M10" s="2" t="str">
        <f t="shared" si="3"/>
        <v>Profit</v>
      </c>
      <c r="N10" s="8">
        <f t="shared" si="4"/>
        <v>45383</v>
      </c>
      <c r="O10" s="49">
        <f t="shared" ca="1" si="5"/>
        <v>46317.962422337965</v>
      </c>
    </row>
    <row r="11" spans="1:15" x14ac:dyDescent="0.25">
      <c r="A11" s="48" t="str">
        <f>[1]Dataset!A11</f>
        <v>CUST010</v>
      </c>
      <c r="B11" s="2" t="str">
        <f>[1]Dataset!B11</f>
        <v>David Thomas</v>
      </c>
      <c r="C11" s="2" t="str">
        <f>[1]Dataset!C11</f>
        <v>Central</v>
      </c>
      <c r="D11" s="2" t="str">
        <f>[1]Dataset!D11</f>
        <v>Clothing</v>
      </c>
      <c r="E11" s="3">
        <f>[1]Dataset!E11</f>
        <v>737.31</v>
      </c>
      <c r="F11" s="4">
        <f>[1]Dataset!F11</f>
        <v>2</v>
      </c>
      <c r="G11" s="5">
        <f>[1]Dataset!G11</f>
        <v>0.05</v>
      </c>
      <c r="H11" s="6">
        <f>[1]Dataset!H11</f>
        <v>45401</v>
      </c>
      <c r="I11" s="3">
        <f>[1]Dataset!I11</f>
        <v>350.22</v>
      </c>
      <c r="J11" s="3">
        <f t="shared" si="0"/>
        <v>36.865499999999997</v>
      </c>
      <c r="K11" s="3">
        <f t="shared" si="1"/>
        <v>700.44449999999995</v>
      </c>
      <c r="L11" s="7">
        <f t="shared" si="2"/>
        <v>0.47499694836635886</v>
      </c>
      <c r="M11" s="2" t="str">
        <f t="shared" si="3"/>
        <v>Profit</v>
      </c>
      <c r="N11" s="8">
        <f t="shared" si="4"/>
        <v>45383</v>
      </c>
      <c r="O11" s="49">
        <f t="shared" ca="1" si="5"/>
        <v>46317.962422337965</v>
      </c>
    </row>
    <row r="12" spans="1:15" x14ac:dyDescent="0.25">
      <c r="A12" s="48" t="str">
        <f>[1]Dataset!A12</f>
        <v>CUST014</v>
      </c>
      <c r="B12" s="2" t="str">
        <f>[1]Dataset!B12</f>
        <v>Emma Davis</v>
      </c>
      <c r="C12" s="2" t="str">
        <f>[1]Dataset!C12</f>
        <v>West</v>
      </c>
      <c r="D12" s="2" t="str">
        <f>[1]Dataset!D12</f>
        <v>Office Supplies</v>
      </c>
      <c r="E12" s="3">
        <f>[1]Dataset!E12</f>
        <v>1572.82</v>
      </c>
      <c r="F12" s="4">
        <f>[1]Dataset!F12</f>
        <v>6</v>
      </c>
      <c r="G12" s="5">
        <f>[1]Dataset!G12</f>
        <v>0.05</v>
      </c>
      <c r="H12" s="6">
        <f>[1]Dataset!H12</f>
        <v>45402</v>
      </c>
      <c r="I12" s="3">
        <f>[1]Dataset!I12</f>
        <v>672.38</v>
      </c>
      <c r="J12" s="3">
        <f t="shared" si="0"/>
        <v>78.641000000000005</v>
      </c>
      <c r="K12" s="3">
        <f t="shared" si="1"/>
        <v>1494.1789999999999</v>
      </c>
      <c r="L12" s="7">
        <f t="shared" si="2"/>
        <v>0.42749965030963494</v>
      </c>
      <c r="M12" s="2" t="str">
        <f t="shared" si="3"/>
        <v>Profit</v>
      </c>
      <c r="N12" s="8">
        <f t="shared" si="4"/>
        <v>45383</v>
      </c>
      <c r="O12" s="49">
        <f t="shared" ca="1" si="5"/>
        <v>46317.962422337965</v>
      </c>
    </row>
    <row r="13" spans="1:15" x14ac:dyDescent="0.25">
      <c r="A13" s="48" t="str">
        <f>[1]Dataset!A13</f>
        <v>CUST014</v>
      </c>
      <c r="B13" s="2" t="str">
        <f>[1]Dataset!B13</f>
        <v>David Thomas</v>
      </c>
      <c r="C13" s="2" t="str">
        <f>[1]Dataset!C13</f>
        <v>Central</v>
      </c>
      <c r="D13" s="2" t="str">
        <f>[1]Dataset!D13</f>
        <v>Books</v>
      </c>
      <c r="E13" s="3">
        <f>[1]Dataset!E13</f>
        <v>1343.13</v>
      </c>
      <c r="F13" s="4">
        <f>[1]Dataset!F13</f>
        <v>14</v>
      </c>
      <c r="G13" s="5">
        <f>[1]Dataset!G13</f>
        <v>0.15</v>
      </c>
      <c r="H13" s="6">
        <f>[1]Dataset!H13</f>
        <v>45404</v>
      </c>
      <c r="I13" s="3">
        <f>[1]Dataset!I13</f>
        <v>456.66</v>
      </c>
      <c r="J13" s="3">
        <f t="shared" si="0"/>
        <v>201.46950000000001</v>
      </c>
      <c r="K13" s="3">
        <f t="shared" si="1"/>
        <v>1141.6605000000002</v>
      </c>
      <c r="L13" s="7">
        <f t="shared" si="2"/>
        <v>0.33999687297581022</v>
      </c>
      <c r="M13" s="2" t="str">
        <f t="shared" si="3"/>
        <v>Profit</v>
      </c>
      <c r="N13" s="8">
        <f t="shared" si="4"/>
        <v>45383</v>
      </c>
      <c r="O13" s="49">
        <f t="shared" ca="1" si="5"/>
        <v>46317.962422337965</v>
      </c>
    </row>
    <row r="14" spans="1:15" x14ac:dyDescent="0.25">
      <c r="A14" s="48" t="str">
        <f>[1]Dataset!A14</f>
        <v>CUST007</v>
      </c>
      <c r="B14" s="2" t="str">
        <f>[1]Dataset!B14</f>
        <v>Michael Anderson</v>
      </c>
      <c r="C14" s="2" t="str">
        <f>[1]Dataset!C14</f>
        <v>Central</v>
      </c>
      <c r="D14" s="2" t="str">
        <f>[1]Dataset!D14</f>
        <v>Books</v>
      </c>
      <c r="E14" s="3">
        <f>[1]Dataset!E14</f>
        <v>1191.58</v>
      </c>
      <c r="F14" s="4">
        <f>[1]Dataset!F14</f>
        <v>14</v>
      </c>
      <c r="G14" s="5">
        <f>[1]Dataset!G14</f>
        <v>0.05</v>
      </c>
      <c r="H14" s="6">
        <f>[1]Dataset!H14</f>
        <v>45406</v>
      </c>
      <c r="I14" s="3">
        <f>[1]Dataset!I14</f>
        <v>452.8</v>
      </c>
      <c r="J14" s="3">
        <f t="shared" si="0"/>
        <v>59.579000000000001</v>
      </c>
      <c r="K14" s="3">
        <f t="shared" si="1"/>
        <v>1132.001</v>
      </c>
      <c r="L14" s="7">
        <f t="shared" si="2"/>
        <v>0.37999966431125065</v>
      </c>
      <c r="M14" s="2" t="str">
        <f t="shared" si="3"/>
        <v>Profit</v>
      </c>
      <c r="N14" s="8">
        <f t="shared" si="4"/>
        <v>45383</v>
      </c>
      <c r="O14" s="49">
        <f t="shared" ca="1" si="5"/>
        <v>46317.962422337965</v>
      </c>
    </row>
    <row r="15" spans="1:15" x14ac:dyDescent="0.25">
      <c r="A15" s="48" t="str">
        <f>[1]Dataset!A15</f>
        <v>CUST023</v>
      </c>
      <c r="B15" s="2" t="str">
        <f>[1]Dataset!B15</f>
        <v>Robert Anderson</v>
      </c>
      <c r="C15" s="2" t="str">
        <f>[1]Dataset!C15</f>
        <v>West</v>
      </c>
      <c r="D15" s="2" t="str">
        <f>[1]Dataset!D15</f>
        <v>Furniture</v>
      </c>
      <c r="E15" s="3">
        <f>[1]Dataset!E15</f>
        <v>822.28</v>
      </c>
      <c r="F15" s="4">
        <f>[1]Dataset!F15</f>
        <v>7</v>
      </c>
      <c r="G15" s="5">
        <f>[1]Dataset!G15</f>
        <v>0.05</v>
      </c>
      <c r="H15" s="6">
        <f>[1]Dataset!H15</f>
        <v>45406</v>
      </c>
      <c r="I15" s="3">
        <f>[1]Dataset!I15</f>
        <v>273.41000000000003</v>
      </c>
      <c r="J15" s="3">
        <f t="shared" si="0"/>
        <v>41.114000000000004</v>
      </c>
      <c r="K15" s="3">
        <f t="shared" si="1"/>
        <v>781.16599999999994</v>
      </c>
      <c r="L15" s="7">
        <f t="shared" si="2"/>
        <v>0.33250231064844094</v>
      </c>
      <c r="M15" s="2" t="str">
        <f t="shared" si="3"/>
        <v>Profit</v>
      </c>
      <c r="N15" s="8">
        <f t="shared" si="4"/>
        <v>45383</v>
      </c>
      <c r="O15" s="49">
        <f t="shared" ca="1" si="5"/>
        <v>46317.962422337965</v>
      </c>
    </row>
    <row r="16" spans="1:15" x14ac:dyDescent="0.25">
      <c r="A16" s="48" t="str">
        <f>[1]Dataset!A16</f>
        <v>CUST029</v>
      </c>
      <c r="B16" s="2" t="str">
        <f>[1]Dataset!B16</f>
        <v>David Smith</v>
      </c>
      <c r="C16" s="2" t="str">
        <f>[1]Dataset!C16</f>
        <v>North</v>
      </c>
      <c r="D16" s="2" t="str">
        <f>[1]Dataset!D16</f>
        <v>Furniture</v>
      </c>
      <c r="E16" s="3">
        <f>[1]Dataset!E16</f>
        <v>521.66999999999996</v>
      </c>
      <c r="F16" s="4">
        <f>[1]Dataset!F16</f>
        <v>15</v>
      </c>
      <c r="G16" s="5">
        <f>[1]Dataset!G16</f>
        <v>0.15</v>
      </c>
      <c r="H16" s="6">
        <f>[1]Dataset!H16</f>
        <v>45409</v>
      </c>
      <c r="I16" s="3">
        <f>[1]Dataset!I16</f>
        <v>155.19999999999999</v>
      </c>
      <c r="J16" s="3">
        <f t="shared" si="0"/>
        <v>78.250499999999988</v>
      </c>
      <c r="K16" s="3">
        <f t="shared" si="1"/>
        <v>443.41949999999997</v>
      </c>
      <c r="L16" s="7">
        <f t="shared" si="2"/>
        <v>0.29750608622309122</v>
      </c>
      <c r="M16" s="2" t="str">
        <f t="shared" si="3"/>
        <v>Profit</v>
      </c>
      <c r="N16" s="8">
        <f t="shared" si="4"/>
        <v>45383</v>
      </c>
      <c r="O16" s="49">
        <f t="shared" ca="1" si="5"/>
        <v>46317.962422337965</v>
      </c>
    </row>
    <row r="17" spans="1:15" x14ac:dyDescent="0.25">
      <c r="A17" s="48" t="str">
        <f>[1]Dataset!A17</f>
        <v>CUST005</v>
      </c>
      <c r="B17" s="2" t="str">
        <f>[1]Dataset!B17</f>
        <v>Sarah Anderson</v>
      </c>
      <c r="C17" s="2" t="str">
        <f>[1]Dataset!C17</f>
        <v>South</v>
      </c>
      <c r="D17" s="2" t="str">
        <f>[1]Dataset!D17</f>
        <v>Electronics</v>
      </c>
      <c r="E17" s="3">
        <f>[1]Dataset!E17</f>
        <v>1502.93</v>
      </c>
      <c r="F17" s="4">
        <f>[1]Dataset!F17</f>
        <v>14</v>
      </c>
      <c r="G17" s="5">
        <f>[1]Dataset!G17</f>
        <v>0.2</v>
      </c>
      <c r="H17" s="6">
        <f>[1]Dataset!H17</f>
        <v>45410</v>
      </c>
      <c r="I17" s="3">
        <f>[1]Dataset!I17</f>
        <v>300.58999999999997</v>
      </c>
      <c r="J17" s="3">
        <f t="shared" si="0"/>
        <v>300.58600000000001</v>
      </c>
      <c r="K17" s="3">
        <f t="shared" si="1"/>
        <v>1202.3440000000001</v>
      </c>
      <c r="L17" s="7">
        <f t="shared" si="2"/>
        <v>0.20000266146793261</v>
      </c>
      <c r="M17" s="2" t="str">
        <f t="shared" si="3"/>
        <v>Profit</v>
      </c>
      <c r="N17" s="8">
        <f t="shared" si="4"/>
        <v>45383</v>
      </c>
      <c r="O17" s="49">
        <f t="shared" ca="1" si="5"/>
        <v>46317.962422337965</v>
      </c>
    </row>
    <row r="18" spans="1:15" x14ac:dyDescent="0.25">
      <c r="A18" s="48" t="str">
        <f>[1]Dataset!A18</f>
        <v>CUST008</v>
      </c>
      <c r="B18" s="2" t="str">
        <f>[1]Dataset!B18</f>
        <v>Robert Anderson</v>
      </c>
      <c r="C18" s="2" t="str">
        <f>[1]Dataset!C18</f>
        <v>South</v>
      </c>
      <c r="D18" s="2" t="str">
        <f>[1]Dataset!D18</f>
        <v>Books</v>
      </c>
      <c r="E18" s="3">
        <f>[1]Dataset!E18</f>
        <v>877.58</v>
      </c>
      <c r="F18" s="4">
        <f>[1]Dataset!F18</f>
        <v>10</v>
      </c>
      <c r="G18" s="5">
        <f>[1]Dataset!G18</f>
        <v>0.15</v>
      </c>
      <c r="H18" s="6">
        <f>[1]Dataset!H18</f>
        <v>45411</v>
      </c>
      <c r="I18" s="3">
        <f>[1]Dataset!I18</f>
        <v>298.38</v>
      </c>
      <c r="J18" s="3">
        <f t="shared" si="0"/>
        <v>131.637</v>
      </c>
      <c r="K18" s="3">
        <f t="shared" si="1"/>
        <v>745.94299999999998</v>
      </c>
      <c r="L18" s="7">
        <f t="shared" si="2"/>
        <v>0.34000319059231066</v>
      </c>
      <c r="M18" s="2" t="str">
        <f t="shared" si="3"/>
        <v>Profit</v>
      </c>
      <c r="N18" s="8">
        <f t="shared" si="4"/>
        <v>45383</v>
      </c>
      <c r="O18" s="49">
        <f t="shared" ca="1" si="5"/>
        <v>46317.962422337965</v>
      </c>
    </row>
    <row r="19" spans="1:15" x14ac:dyDescent="0.25">
      <c r="A19" s="48" t="str">
        <f>[1]Dataset!A19</f>
        <v>CUST001</v>
      </c>
      <c r="B19" s="2" t="str">
        <f>[1]Dataset!B19</f>
        <v>Lisa Thomas</v>
      </c>
      <c r="C19" s="2" t="str">
        <f>[1]Dataset!C19</f>
        <v>West</v>
      </c>
      <c r="D19" s="2" t="str">
        <f>[1]Dataset!D19</f>
        <v>Books</v>
      </c>
      <c r="E19" s="3">
        <f>[1]Dataset!E19</f>
        <v>636.70000000000005</v>
      </c>
      <c r="F19" s="4">
        <f>[1]Dataset!F19</f>
        <v>4</v>
      </c>
      <c r="G19" s="5">
        <f>[1]Dataset!G19</f>
        <v>0.2</v>
      </c>
      <c r="H19" s="6">
        <f>[1]Dataset!H19</f>
        <v>45411</v>
      </c>
      <c r="I19" s="3">
        <f>[1]Dataset!I19</f>
        <v>203.74</v>
      </c>
      <c r="J19" s="3">
        <f t="shared" si="0"/>
        <v>127.34000000000002</v>
      </c>
      <c r="K19" s="3">
        <f t="shared" si="1"/>
        <v>509.36</v>
      </c>
      <c r="L19" s="7">
        <f t="shared" si="2"/>
        <v>0.31999371760640805</v>
      </c>
      <c r="M19" s="2" t="str">
        <f t="shared" si="3"/>
        <v>Profit</v>
      </c>
      <c r="N19" s="8">
        <f t="shared" si="4"/>
        <v>45383</v>
      </c>
      <c r="O19" s="49">
        <f t="shared" ca="1" si="5"/>
        <v>46317.962422337965</v>
      </c>
    </row>
    <row r="20" spans="1:15" x14ac:dyDescent="0.25">
      <c r="A20" s="48" t="str">
        <f>[1]Dataset!A20</f>
        <v>CUST006</v>
      </c>
      <c r="B20" s="2" t="str">
        <f>[1]Dataset!B20</f>
        <v>Mary Jackson</v>
      </c>
      <c r="C20" s="2" t="str">
        <f>[1]Dataset!C20</f>
        <v>West</v>
      </c>
      <c r="D20" s="2" t="str">
        <f>[1]Dataset!D20</f>
        <v>Books</v>
      </c>
      <c r="E20" s="3">
        <f>[1]Dataset!E20</f>
        <v>1506.14</v>
      </c>
      <c r="F20" s="4">
        <f>[1]Dataset!F20</f>
        <v>13</v>
      </c>
      <c r="G20" s="5">
        <f>[1]Dataset!G20</f>
        <v>0.2</v>
      </c>
      <c r="H20" s="6">
        <f>[1]Dataset!H20</f>
        <v>45412</v>
      </c>
      <c r="I20" s="3">
        <f>[1]Dataset!I20</f>
        <v>481.96</v>
      </c>
      <c r="J20" s="3">
        <f t="shared" si="0"/>
        <v>301.22800000000001</v>
      </c>
      <c r="K20" s="3">
        <f t="shared" si="1"/>
        <v>1204.912</v>
      </c>
      <c r="L20" s="7">
        <f t="shared" si="2"/>
        <v>0.319996813045268</v>
      </c>
      <c r="M20" s="2" t="str">
        <f t="shared" si="3"/>
        <v>Profit</v>
      </c>
      <c r="N20" s="8">
        <f t="shared" si="4"/>
        <v>45383</v>
      </c>
      <c r="O20" s="49">
        <f t="shared" ca="1" si="5"/>
        <v>46317.962422337965</v>
      </c>
    </row>
    <row r="21" spans="1:15" x14ac:dyDescent="0.25">
      <c r="A21" s="48" t="str">
        <f>[1]Dataset!A21</f>
        <v>CUST026</v>
      </c>
      <c r="B21" s="2" t="str">
        <f>[1]Dataset!B21</f>
        <v>Mary Davis</v>
      </c>
      <c r="C21" s="2" t="str">
        <f>[1]Dataset!C21</f>
        <v>Central</v>
      </c>
      <c r="D21" s="2" t="str">
        <f>[1]Dataset!D21</f>
        <v>Electronics</v>
      </c>
      <c r="E21" s="3">
        <f>[1]Dataset!E21</f>
        <v>645.02</v>
      </c>
      <c r="F21" s="4">
        <f>[1]Dataset!F21</f>
        <v>4</v>
      </c>
      <c r="G21" s="5">
        <f>[1]Dataset!G21</f>
        <v>0</v>
      </c>
      <c r="H21" s="6">
        <f>[1]Dataset!H21</f>
        <v>45414</v>
      </c>
      <c r="I21" s="3">
        <f>[1]Dataset!I21</f>
        <v>161.26</v>
      </c>
      <c r="J21" s="3">
        <f t="shared" si="0"/>
        <v>0</v>
      </c>
      <c r="K21" s="3">
        <f t="shared" si="1"/>
        <v>645.02</v>
      </c>
      <c r="L21" s="7">
        <f t="shared" si="2"/>
        <v>0.25000775169762179</v>
      </c>
      <c r="M21" s="2" t="str">
        <f t="shared" si="3"/>
        <v>Profit</v>
      </c>
      <c r="N21" s="8">
        <f t="shared" si="4"/>
        <v>45413</v>
      </c>
      <c r="O21" s="49">
        <f t="shared" ca="1" si="5"/>
        <v>46317.962422337965</v>
      </c>
    </row>
    <row r="22" spans="1:15" x14ac:dyDescent="0.25">
      <c r="A22" s="48" t="str">
        <f>[1]Dataset!A22</f>
        <v>CUST007</v>
      </c>
      <c r="B22" s="2" t="str">
        <f>[1]Dataset!B22</f>
        <v>Lisa Davis</v>
      </c>
      <c r="C22" s="2" t="str">
        <f>[1]Dataset!C22</f>
        <v>South</v>
      </c>
      <c r="D22" s="2" t="str">
        <f>[1]Dataset!D22</f>
        <v>Clothing</v>
      </c>
      <c r="E22" s="3">
        <f>[1]Dataset!E22</f>
        <v>953.3</v>
      </c>
      <c r="F22" s="4">
        <f>[1]Dataset!F22</f>
        <v>11</v>
      </c>
      <c r="G22" s="5">
        <f>[1]Dataset!G22</f>
        <v>0</v>
      </c>
      <c r="H22" s="6">
        <f>[1]Dataset!H22</f>
        <v>45415</v>
      </c>
      <c r="I22" s="3">
        <f>[1]Dataset!I22</f>
        <v>476.65</v>
      </c>
      <c r="J22" s="3">
        <f t="shared" si="0"/>
        <v>0</v>
      </c>
      <c r="K22" s="3">
        <f t="shared" si="1"/>
        <v>953.3</v>
      </c>
      <c r="L22" s="7">
        <f t="shared" si="2"/>
        <v>0.5</v>
      </c>
      <c r="M22" s="2" t="str">
        <f t="shared" si="3"/>
        <v>Profit</v>
      </c>
      <c r="N22" s="8">
        <f t="shared" si="4"/>
        <v>45413</v>
      </c>
      <c r="O22" s="49">
        <f t="shared" ca="1" si="5"/>
        <v>46317.962422337965</v>
      </c>
    </row>
    <row r="23" spans="1:15" x14ac:dyDescent="0.25">
      <c r="A23" s="48" t="str">
        <f>[1]Dataset!A23</f>
        <v>CUST022</v>
      </c>
      <c r="B23" s="2" t="str">
        <f>[1]Dataset!B23</f>
        <v>Robert Anderson</v>
      </c>
      <c r="C23" s="2" t="str">
        <f>[1]Dataset!C23</f>
        <v>North</v>
      </c>
      <c r="D23" s="2" t="str">
        <f>[1]Dataset!D23</f>
        <v>Electronics</v>
      </c>
      <c r="E23" s="3">
        <f>[1]Dataset!E23</f>
        <v>388.56</v>
      </c>
      <c r="F23" s="4">
        <f>[1]Dataset!F23</f>
        <v>14</v>
      </c>
      <c r="G23" s="5">
        <f>[1]Dataset!G23</f>
        <v>0.15</v>
      </c>
      <c r="H23" s="6">
        <f>[1]Dataset!H23</f>
        <v>45416</v>
      </c>
      <c r="I23" s="3">
        <f>[1]Dataset!I23</f>
        <v>82.57</v>
      </c>
      <c r="J23" s="3">
        <f t="shared" si="0"/>
        <v>58.283999999999999</v>
      </c>
      <c r="K23" s="3">
        <f t="shared" si="1"/>
        <v>330.27600000000001</v>
      </c>
      <c r="L23" s="7">
        <f t="shared" si="2"/>
        <v>0.21250257360510602</v>
      </c>
      <c r="M23" s="2" t="str">
        <f t="shared" si="3"/>
        <v>Profit</v>
      </c>
      <c r="N23" s="8">
        <f t="shared" si="4"/>
        <v>45413</v>
      </c>
      <c r="O23" s="49">
        <f t="shared" ca="1" si="5"/>
        <v>46317.962422337965</v>
      </c>
    </row>
    <row r="24" spans="1:15" x14ac:dyDescent="0.25">
      <c r="A24" s="48" t="str">
        <f>[1]Dataset!A24</f>
        <v>CUST019</v>
      </c>
      <c r="B24" s="2" t="str">
        <f>[1]Dataset!B24</f>
        <v>Mary Davis</v>
      </c>
      <c r="C24" s="2" t="str">
        <f>[1]Dataset!C24</f>
        <v>West</v>
      </c>
      <c r="D24" s="2" t="str">
        <f>[1]Dataset!D24</f>
        <v>Books</v>
      </c>
      <c r="E24" s="3">
        <f>[1]Dataset!E24</f>
        <v>743.17</v>
      </c>
      <c r="F24" s="4">
        <f>[1]Dataset!F24</f>
        <v>9</v>
      </c>
      <c r="G24" s="5">
        <f>[1]Dataset!G24</f>
        <v>0</v>
      </c>
      <c r="H24" s="6">
        <f>[1]Dataset!H24</f>
        <v>45416</v>
      </c>
      <c r="I24" s="3">
        <f>[1]Dataset!I24</f>
        <v>297.27</v>
      </c>
      <c r="J24" s="3">
        <f t="shared" si="0"/>
        <v>0</v>
      </c>
      <c r="K24" s="3">
        <f t="shared" si="1"/>
        <v>743.17</v>
      </c>
      <c r="L24" s="7">
        <f t="shared" si="2"/>
        <v>0.40000269117429388</v>
      </c>
      <c r="M24" s="2" t="str">
        <f t="shared" si="3"/>
        <v>Profit</v>
      </c>
      <c r="N24" s="8">
        <f t="shared" si="4"/>
        <v>45413</v>
      </c>
      <c r="O24" s="49">
        <f t="shared" ca="1" si="5"/>
        <v>46317.962422337965</v>
      </c>
    </row>
    <row r="25" spans="1:15" x14ac:dyDescent="0.25">
      <c r="A25" s="48" t="str">
        <f>[1]Dataset!A25</f>
        <v>CUST023</v>
      </c>
      <c r="B25" s="2" t="str">
        <f>[1]Dataset!B25</f>
        <v>Mary Davis</v>
      </c>
      <c r="C25" s="2" t="str">
        <f>[1]Dataset!C25</f>
        <v>Central</v>
      </c>
      <c r="D25" s="2" t="str">
        <f>[1]Dataset!D25</f>
        <v>Electronics</v>
      </c>
      <c r="E25" s="3">
        <f>[1]Dataset!E25</f>
        <v>706.37</v>
      </c>
      <c r="F25" s="4">
        <f>[1]Dataset!F25</f>
        <v>6</v>
      </c>
      <c r="G25" s="5">
        <f>[1]Dataset!G25</f>
        <v>0</v>
      </c>
      <c r="H25" s="6">
        <f>[1]Dataset!H25</f>
        <v>45416</v>
      </c>
      <c r="I25" s="3">
        <f>[1]Dataset!I25</f>
        <v>176.59</v>
      </c>
      <c r="J25" s="3">
        <f t="shared" si="0"/>
        <v>0</v>
      </c>
      <c r="K25" s="3">
        <f t="shared" si="1"/>
        <v>706.37</v>
      </c>
      <c r="L25" s="7">
        <f t="shared" si="2"/>
        <v>0.24999646077834564</v>
      </c>
      <c r="M25" s="2" t="str">
        <f t="shared" si="3"/>
        <v>Profit</v>
      </c>
      <c r="N25" s="8">
        <f t="shared" si="4"/>
        <v>45413</v>
      </c>
      <c r="O25" s="49">
        <f t="shared" ca="1" si="5"/>
        <v>46317.962422337965</v>
      </c>
    </row>
    <row r="26" spans="1:15" x14ac:dyDescent="0.25">
      <c r="A26" s="48" t="str">
        <f>[1]Dataset!A26</f>
        <v>CUST012</v>
      </c>
      <c r="B26" s="2" t="str">
        <f>[1]Dataset!B26</f>
        <v>Mary Davis</v>
      </c>
      <c r="C26" s="2" t="str">
        <f>[1]Dataset!C26</f>
        <v>Central</v>
      </c>
      <c r="D26" s="2" t="str">
        <f>[1]Dataset!D26</f>
        <v>Office Supplies</v>
      </c>
      <c r="E26" s="3">
        <f>[1]Dataset!E26</f>
        <v>925.31</v>
      </c>
      <c r="F26" s="4">
        <f>[1]Dataset!F26</f>
        <v>8</v>
      </c>
      <c r="G26" s="5">
        <f>[1]Dataset!G26</f>
        <v>0.1</v>
      </c>
      <c r="H26" s="6">
        <f>[1]Dataset!H26</f>
        <v>45418</v>
      </c>
      <c r="I26" s="3">
        <f>[1]Dataset!I26</f>
        <v>374.75</v>
      </c>
      <c r="J26" s="3">
        <f t="shared" si="0"/>
        <v>92.531000000000006</v>
      </c>
      <c r="K26" s="3">
        <f t="shared" si="1"/>
        <v>832.779</v>
      </c>
      <c r="L26" s="7">
        <f t="shared" si="2"/>
        <v>0.40499940560460823</v>
      </c>
      <c r="M26" s="2" t="str">
        <f t="shared" si="3"/>
        <v>Profit</v>
      </c>
      <c r="N26" s="8">
        <f t="shared" si="4"/>
        <v>45413</v>
      </c>
      <c r="O26" s="49">
        <f t="shared" ca="1" si="5"/>
        <v>46317.962422337965</v>
      </c>
    </row>
    <row r="27" spans="1:15" x14ac:dyDescent="0.25">
      <c r="A27" s="48" t="str">
        <f>[1]Dataset!A27</f>
        <v>CUST010</v>
      </c>
      <c r="B27" s="2" t="str">
        <f>[1]Dataset!B27</f>
        <v>Linda Brown</v>
      </c>
      <c r="C27" s="2" t="str">
        <f>[1]Dataset!C27</f>
        <v>South</v>
      </c>
      <c r="D27" s="2" t="str">
        <f>[1]Dataset!D27</f>
        <v>Electronics</v>
      </c>
      <c r="E27" s="3">
        <f>[1]Dataset!E27</f>
        <v>1173.1199999999999</v>
      </c>
      <c r="F27" s="4">
        <f>[1]Dataset!F27</f>
        <v>18</v>
      </c>
      <c r="G27" s="5">
        <f>[1]Dataset!G27</f>
        <v>0</v>
      </c>
      <c r="H27" s="6">
        <f>[1]Dataset!H27</f>
        <v>45418</v>
      </c>
      <c r="I27" s="3">
        <f>[1]Dataset!I27</f>
        <v>293.27999999999997</v>
      </c>
      <c r="J27" s="3">
        <f t="shared" si="0"/>
        <v>0</v>
      </c>
      <c r="K27" s="3">
        <f t="shared" si="1"/>
        <v>1173.1199999999999</v>
      </c>
      <c r="L27" s="7">
        <f t="shared" si="2"/>
        <v>0.25</v>
      </c>
      <c r="M27" s="2" t="str">
        <f t="shared" si="3"/>
        <v>Profit</v>
      </c>
      <c r="N27" s="8">
        <f t="shared" si="4"/>
        <v>45413</v>
      </c>
      <c r="O27" s="49">
        <f t="shared" ca="1" si="5"/>
        <v>46317.962422337965</v>
      </c>
    </row>
    <row r="28" spans="1:15" x14ac:dyDescent="0.25">
      <c r="A28" s="48" t="str">
        <f>[1]Dataset!A28</f>
        <v>CUST030</v>
      </c>
      <c r="B28" s="2" t="str">
        <f>[1]Dataset!B28</f>
        <v>John Brown</v>
      </c>
      <c r="C28" s="2" t="str">
        <f>[1]Dataset!C28</f>
        <v>North</v>
      </c>
      <c r="D28" s="2" t="str">
        <f>[1]Dataset!D28</f>
        <v>Furniture</v>
      </c>
      <c r="E28" s="3">
        <f>[1]Dataset!E28</f>
        <v>675.54</v>
      </c>
      <c r="F28" s="4">
        <f>[1]Dataset!F28</f>
        <v>17</v>
      </c>
      <c r="G28" s="5">
        <f>[1]Dataset!G28</f>
        <v>0</v>
      </c>
      <c r="H28" s="6">
        <f>[1]Dataset!H28</f>
        <v>45420</v>
      </c>
      <c r="I28" s="3">
        <f>[1]Dataset!I28</f>
        <v>236.44</v>
      </c>
      <c r="J28" s="3">
        <f t="shared" si="0"/>
        <v>0</v>
      </c>
      <c r="K28" s="3">
        <f t="shared" si="1"/>
        <v>675.54</v>
      </c>
      <c r="L28" s="7">
        <f t="shared" si="2"/>
        <v>0.35000148029724371</v>
      </c>
      <c r="M28" s="2" t="str">
        <f t="shared" si="3"/>
        <v>Profit</v>
      </c>
      <c r="N28" s="8">
        <f t="shared" si="4"/>
        <v>45413</v>
      </c>
      <c r="O28" s="49">
        <f t="shared" ca="1" si="5"/>
        <v>46317.962422337965</v>
      </c>
    </row>
    <row r="29" spans="1:15" x14ac:dyDescent="0.25">
      <c r="A29" s="48" t="str">
        <f>[1]Dataset!A29</f>
        <v>CUST007</v>
      </c>
      <c r="B29" s="2" t="str">
        <f>[1]Dataset!B29</f>
        <v>Robert Anderson</v>
      </c>
      <c r="C29" s="2" t="str">
        <f>[1]Dataset!C29</f>
        <v>Central</v>
      </c>
      <c r="D29" s="2" t="str">
        <f>[1]Dataset!D29</f>
        <v>Books</v>
      </c>
      <c r="E29" s="3">
        <f>[1]Dataset!E29</f>
        <v>939.09</v>
      </c>
      <c r="F29" s="4">
        <f>[1]Dataset!F29</f>
        <v>2</v>
      </c>
      <c r="G29" s="5">
        <f>[1]Dataset!G29</f>
        <v>0.05</v>
      </c>
      <c r="H29" s="6">
        <f>[1]Dataset!H29</f>
        <v>45422</v>
      </c>
      <c r="I29" s="3">
        <f>[1]Dataset!I29</f>
        <v>356.85</v>
      </c>
      <c r="J29" s="3">
        <f t="shared" si="0"/>
        <v>46.954500000000003</v>
      </c>
      <c r="K29" s="3">
        <f t="shared" si="1"/>
        <v>892.13549999999998</v>
      </c>
      <c r="L29" s="7">
        <f t="shared" si="2"/>
        <v>0.37999552758521549</v>
      </c>
      <c r="M29" s="2" t="str">
        <f t="shared" si="3"/>
        <v>Profit</v>
      </c>
      <c r="N29" s="8">
        <f t="shared" si="4"/>
        <v>45413</v>
      </c>
      <c r="O29" s="49">
        <f t="shared" ca="1" si="5"/>
        <v>46317.962422337965</v>
      </c>
    </row>
    <row r="30" spans="1:15" x14ac:dyDescent="0.25">
      <c r="A30" s="48" t="str">
        <f>[1]Dataset!A30</f>
        <v>CUST028</v>
      </c>
      <c r="B30" s="2" t="str">
        <f>[1]Dataset!B30</f>
        <v>Linda Taylor</v>
      </c>
      <c r="C30" s="2" t="str">
        <f>[1]Dataset!C30</f>
        <v>East</v>
      </c>
      <c r="D30" s="2" t="str">
        <f>[1]Dataset!D30</f>
        <v>Office Supplies</v>
      </c>
      <c r="E30" s="3">
        <f>[1]Dataset!E30</f>
        <v>983.34</v>
      </c>
      <c r="F30" s="4">
        <f>[1]Dataset!F30</f>
        <v>19</v>
      </c>
      <c r="G30" s="5">
        <f>[1]Dataset!G30</f>
        <v>0.1</v>
      </c>
      <c r="H30" s="6">
        <f>[1]Dataset!H30</f>
        <v>45426</v>
      </c>
      <c r="I30" s="3">
        <f>[1]Dataset!I30</f>
        <v>398.25</v>
      </c>
      <c r="J30" s="3">
        <f t="shared" si="0"/>
        <v>98.334000000000003</v>
      </c>
      <c r="K30" s="3">
        <f t="shared" si="1"/>
        <v>885.00600000000009</v>
      </c>
      <c r="L30" s="7">
        <f t="shared" si="2"/>
        <v>0.40499725425590333</v>
      </c>
      <c r="M30" s="2" t="str">
        <f t="shared" si="3"/>
        <v>Profit</v>
      </c>
      <c r="N30" s="8">
        <f t="shared" si="4"/>
        <v>45413</v>
      </c>
      <c r="O30" s="49">
        <f t="shared" ca="1" si="5"/>
        <v>46317.962422337965</v>
      </c>
    </row>
    <row r="31" spans="1:15" x14ac:dyDescent="0.25">
      <c r="A31" s="48" t="str">
        <f>[1]Dataset!A31</f>
        <v>CUST028</v>
      </c>
      <c r="B31" s="2" t="str">
        <f>[1]Dataset!B31</f>
        <v>James Wilson</v>
      </c>
      <c r="C31" s="2" t="str">
        <f>[1]Dataset!C31</f>
        <v>South</v>
      </c>
      <c r="D31" s="2" t="str">
        <f>[1]Dataset!D31</f>
        <v>Electronics</v>
      </c>
      <c r="E31" s="3">
        <f>[1]Dataset!E31</f>
        <v>801.21</v>
      </c>
      <c r="F31" s="4">
        <f>[1]Dataset!F31</f>
        <v>3</v>
      </c>
      <c r="G31" s="5">
        <f>[1]Dataset!G31</f>
        <v>0.2</v>
      </c>
      <c r="H31" s="6">
        <f>[1]Dataset!H31</f>
        <v>45426</v>
      </c>
      <c r="I31" s="3">
        <f>[1]Dataset!I31</f>
        <v>160.24</v>
      </c>
      <c r="J31" s="3">
        <f t="shared" si="0"/>
        <v>160.24200000000002</v>
      </c>
      <c r="K31" s="3">
        <f t="shared" si="1"/>
        <v>640.96800000000007</v>
      </c>
      <c r="L31" s="7">
        <f t="shared" si="2"/>
        <v>0.19999750377553949</v>
      </c>
      <c r="M31" s="2" t="str">
        <f t="shared" si="3"/>
        <v>Profit</v>
      </c>
      <c r="N31" s="8">
        <f t="shared" si="4"/>
        <v>45413</v>
      </c>
      <c r="O31" s="49">
        <f t="shared" ca="1" si="5"/>
        <v>46317.962422337965</v>
      </c>
    </row>
    <row r="32" spans="1:15" x14ac:dyDescent="0.25">
      <c r="A32" s="48" t="str">
        <f>[1]Dataset!A32</f>
        <v>CUST025</v>
      </c>
      <c r="B32" s="2" t="str">
        <f>[1]Dataset!B32</f>
        <v>David Brown</v>
      </c>
      <c r="C32" s="2" t="str">
        <f>[1]Dataset!C32</f>
        <v>North</v>
      </c>
      <c r="D32" s="2" t="str">
        <f>[1]Dataset!D32</f>
        <v>Electronics</v>
      </c>
      <c r="E32" s="3">
        <f>[1]Dataset!E32</f>
        <v>1450.71</v>
      </c>
      <c r="F32" s="4">
        <f>[1]Dataset!F32</f>
        <v>5</v>
      </c>
      <c r="G32" s="5">
        <f>[1]Dataset!G32</f>
        <v>0.1</v>
      </c>
      <c r="H32" s="6">
        <f>[1]Dataset!H32</f>
        <v>45427</v>
      </c>
      <c r="I32" s="3">
        <f>[1]Dataset!I32</f>
        <v>326.41000000000003</v>
      </c>
      <c r="J32" s="3">
        <f t="shared" si="0"/>
        <v>145.071</v>
      </c>
      <c r="K32" s="3">
        <f t="shared" si="1"/>
        <v>1305.6390000000001</v>
      </c>
      <c r="L32" s="7">
        <f t="shared" si="2"/>
        <v>0.22500017232941114</v>
      </c>
      <c r="M32" s="2" t="str">
        <f t="shared" si="3"/>
        <v>Profit</v>
      </c>
      <c r="N32" s="8">
        <f t="shared" si="4"/>
        <v>45413</v>
      </c>
      <c r="O32" s="49">
        <f t="shared" ca="1" si="5"/>
        <v>46317.962422337965</v>
      </c>
    </row>
    <row r="33" spans="1:15" x14ac:dyDescent="0.25">
      <c r="A33" s="48" t="str">
        <f>[1]Dataset!A33</f>
        <v>CUST022</v>
      </c>
      <c r="B33" s="2" t="str">
        <f>[1]Dataset!B33</f>
        <v>David Davis</v>
      </c>
      <c r="C33" s="2" t="str">
        <f>[1]Dataset!C33</f>
        <v>Central</v>
      </c>
      <c r="D33" s="2" t="str">
        <f>[1]Dataset!D33</f>
        <v>Books</v>
      </c>
      <c r="E33" s="3">
        <f>[1]Dataset!E33</f>
        <v>1023.21</v>
      </c>
      <c r="F33" s="4">
        <f>[1]Dataset!F33</f>
        <v>18</v>
      </c>
      <c r="G33" s="5">
        <f>[1]Dataset!G33</f>
        <v>0.05</v>
      </c>
      <c r="H33" s="6">
        <f>[1]Dataset!H33</f>
        <v>45428</v>
      </c>
      <c r="I33" s="3">
        <f>[1]Dataset!I33</f>
        <v>388.82</v>
      </c>
      <c r="J33" s="3">
        <f t="shared" si="0"/>
        <v>51.160500000000006</v>
      </c>
      <c r="K33" s="3">
        <f t="shared" si="1"/>
        <v>972.04950000000008</v>
      </c>
      <c r="L33" s="7">
        <f t="shared" si="2"/>
        <v>0.38000019546329689</v>
      </c>
      <c r="M33" s="2" t="str">
        <f t="shared" si="3"/>
        <v>Profit</v>
      </c>
      <c r="N33" s="8">
        <f t="shared" si="4"/>
        <v>45413</v>
      </c>
      <c r="O33" s="49">
        <f t="shared" ca="1" si="5"/>
        <v>46317.962422337965</v>
      </c>
    </row>
    <row r="34" spans="1:15" x14ac:dyDescent="0.25">
      <c r="A34" s="48" t="str">
        <f>[1]Dataset!A34</f>
        <v>CUST001</v>
      </c>
      <c r="B34" s="2" t="str">
        <f>[1]Dataset!B34</f>
        <v>Mary Jackson</v>
      </c>
      <c r="C34" s="2" t="str">
        <f>[1]Dataset!C34</f>
        <v>West</v>
      </c>
      <c r="D34" s="2" t="str">
        <f>[1]Dataset!D34</f>
        <v>Furniture</v>
      </c>
      <c r="E34" s="3">
        <f>[1]Dataset!E34</f>
        <v>853.72</v>
      </c>
      <c r="F34" s="4">
        <f>[1]Dataset!F34</f>
        <v>5</v>
      </c>
      <c r="G34" s="5">
        <f>[1]Dataset!G34</f>
        <v>0.15</v>
      </c>
      <c r="H34" s="6">
        <f>[1]Dataset!H34</f>
        <v>45428</v>
      </c>
      <c r="I34" s="3">
        <f>[1]Dataset!I34</f>
        <v>253.98</v>
      </c>
      <c r="J34" s="3">
        <f t="shared" si="0"/>
        <v>128.05799999999999</v>
      </c>
      <c r="K34" s="3">
        <f t="shared" si="1"/>
        <v>725.66200000000003</v>
      </c>
      <c r="L34" s="7">
        <f t="shared" si="2"/>
        <v>0.29749800871480109</v>
      </c>
      <c r="M34" s="2" t="str">
        <f t="shared" si="3"/>
        <v>Profit</v>
      </c>
      <c r="N34" s="8">
        <f t="shared" si="4"/>
        <v>45413</v>
      </c>
      <c r="O34" s="49">
        <f t="shared" ca="1" si="5"/>
        <v>46317.962422337965</v>
      </c>
    </row>
    <row r="35" spans="1:15" x14ac:dyDescent="0.25">
      <c r="A35" s="48" t="str">
        <f>[1]Dataset!A35</f>
        <v>CUST021</v>
      </c>
      <c r="B35" s="2" t="str">
        <f>[1]Dataset!B35</f>
        <v>Sarah Anderson</v>
      </c>
      <c r="C35" s="2" t="str">
        <f>[1]Dataset!C35</f>
        <v>South</v>
      </c>
      <c r="D35" s="2" t="str">
        <f>[1]Dataset!D35</f>
        <v>Electronics</v>
      </c>
      <c r="E35" s="3">
        <f>[1]Dataset!E35</f>
        <v>967.89</v>
      </c>
      <c r="F35" s="4">
        <f>[1]Dataset!F35</f>
        <v>10</v>
      </c>
      <c r="G35" s="5">
        <f>[1]Dataset!G35</f>
        <v>0.1</v>
      </c>
      <c r="H35" s="6">
        <f>[1]Dataset!H35</f>
        <v>45429</v>
      </c>
      <c r="I35" s="3">
        <f>[1]Dataset!I35</f>
        <v>217.78</v>
      </c>
      <c r="J35" s="3">
        <f t="shared" si="0"/>
        <v>96.789000000000001</v>
      </c>
      <c r="K35" s="3">
        <f t="shared" si="1"/>
        <v>871.101</v>
      </c>
      <c r="L35" s="7">
        <f t="shared" si="2"/>
        <v>0.22500490758247321</v>
      </c>
      <c r="M35" s="2" t="str">
        <f t="shared" si="3"/>
        <v>Profit</v>
      </c>
      <c r="N35" s="8">
        <f t="shared" si="4"/>
        <v>45413</v>
      </c>
      <c r="O35" s="49">
        <f t="shared" ca="1" si="5"/>
        <v>46317.962422337965</v>
      </c>
    </row>
    <row r="36" spans="1:15" x14ac:dyDescent="0.25">
      <c r="A36" s="48" t="str">
        <f>[1]Dataset!A36</f>
        <v>CUST015</v>
      </c>
      <c r="B36" s="2" t="str">
        <f>[1]Dataset!B36</f>
        <v>Linda Taylor</v>
      </c>
      <c r="C36" s="2" t="str">
        <f>[1]Dataset!C36</f>
        <v>North</v>
      </c>
      <c r="D36" s="2" t="str">
        <f>[1]Dataset!D36</f>
        <v>Office Supplies</v>
      </c>
      <c r="E36" s="3">
        <f>[1]Dataset!E36</f>
        <v>1200.9000000000001</v>
      </c>
      <c r="F36" s="4">
        <f>[1]Dataset!F36</f>
        <v>14</v>
      </c>
      <c r="G36" s="5">
        <f>[1]Dataset!G36</f>
        <v>0.05</v>
      </c>
      <c r="H36" s="6">
        <f>[1]Dataset!H36</f>
        <v>45429</v>
      </c>
      <c r="I36" s="3">
        <f>[1]Dataset!I36</f>
        <v>513.38</v>
      </c>
      <c r="J36" s="3">
        <f t="shared" si="0"/>
        <v>60.045000000000009</v>
      </c>
      <c r="K36" s="3">
        <f t="shared" si="1"/>
        <v>1140.855</v>
      </c>
      <c r="L36" s="7">
        <f t="shared" si="2"/>
        <v>0.42749604463319174</v>
      </c>
      <c r="M36" s="2" t="str">
        <f t="shared" si="3"/>
        <v>Profit</v>
      </c>
      <c r="N36" s="8">
        <f t="shared" si="4"/>
        <v>45413</v>
      </c>
      <c r="O36" s="49">
        <f t="shared" ca="1" si="5"/>
        <v>46317.962422337965</v>
      </c>
    </row>
    <row r="37" spans="1:15" x14ac:dyDescent="0.25">
      <c r="A37" s="48" t="str">
        <f>[1]Dataset!A37</f>
        <v>CUST012</v>
      </c>
      <c r="B37" s="2" t="str">
        <f>[1]Dataset!B37</f>
        <v>Michael Anderson</v>
      </c>
      <c r="C37" s="2" t="str">
        <f>[1]Dataset!C37</f>
        <v>West</v>
      </c>
      <c r="D37" s="2" t="str">
        <f>[1]Dataset!D37</f>
        <v>Books</v>
      </c>
      <c r="E37" s="3">
        <f>[1]Dataset!E37</f>
        <v>472.38</v>
      </c>
      <c r="F37" s="4">
        <f>[1]Dataset!F37</f>
        <v>12</v>
      </c>
      <c r="G37" s="5">
        <f>[1]Dataset!G37</f>
        <v>0.2</v>
      </c>
      <c r="H37" s="6">
        <f>[1]Dataset!H37</f>
        <v>45429</v>
      </c>
      <c r="I37" s="3">
        <f>[1]Dataset!I37</f>
        <v>151.16</v>
      </c>
      <c r="J37" s="3">
        <f t="shared" si="0"/>
        <v>94.475999999999999</v>
      </c>
      <c r="K37" s="3">
        <f t="shared" si="1"/>
        <v>377.904</v>
      </c>
      <c r="L37" s="7">
        <f t="shared" si="2"/>
        <v>0.31999661289639697</v>
      </c>
      <c r="M37" s="2" t="str">
        <f t="shared" si="3"/>
        <v>Profit</v>
      </c>
      <c r="N37" s="8">
        <f t="shared" si="4"/>
        <v>45413</v>
      </c>
      <c r="O37" s="49">
        <f t="shared" ca="1" si="5"/>
        <v>46317.962422337965</v>
      </c>
    </row>
    <row r="38" spans="1:15" x14ac:dyDescent="0.25">
      <c r="A38" s="48" t="str">
        <f>[1]Dataset!A38</f>
        <v>CUST019</v>
      </c>
      <c r="B38" s="2" t="str">
        <f>[1]Dataset!B38</f>
        <v>David Brown</v>
      </c>
      <c r="C38" s="2" t="str">
        <f>[1]Dataset!C38</f>
        <v>East</v>
      </c>
      <c r="D38" s="2" t="str">
        <f>[1]Dataset!D38</f>
        <v>Office Supplies</v>
      </c>
      <c r="E38" s="3">
        <f>[1]Dataset!E38</f>
        <v>840.92</v>
      </c>
      <c r="F38" s="4">
        <f>[1]Dataset!F38</f>
        <v>9</v>
      </c>
      <c r="G38" s="5">
        <f>[1]Dataset!G38</f>
        <v>0.05</v>
      </c>
      <c r="H38" s="6">
        <f>[1]Dataset!H38</f>
        <v>45429</v>
      </c>
      <c r="I38" s="3">
        <f>[1]Dataset!I38</f>
        <v>359.49</v>
      </c>
      <c r="J38" s="3">
        <f t="shared" si="0"/>
        <v>42.045999999999999</v>
      </c>
      <c r="K38" s="3">
        <f t="shared" si="1"/>
        <v>798.87399999999991</v>
      </c>
      <c r="L38" s="7">
        <f t="shared" si="2"/>
        <v>0.42749607572658521</v>
      </c>
      <c r="M38" s="2" t="str">
        <f t="shared" si="3"/>
        <v>Profit</v>
      </c>
      <c r="N38" s="8">
        <f t="shared" si="4"/>
        <v>45413</v>
      </c>
      <c r="O38" s="49">
        <f t="shared" ca="1" si="5"/>
        <v>46317.962422337965</v>
      </c>
    </row>
    <row r="39" spans="1:15" x14ac:dyDescent="0.25">
      <c r="A39" s="48" t="str">
        <f>[1]Dataset!A39</f>
        <v>CUST028</v>
      </c>
      <c r="B39" s="2" t="str">
        <f>[1]Dataset!B39</f>
        <v>Lisa Davis</v>
      </c>
      <c r="C39" s="2" t="str">
        <f>[1]Dataset!C39</f>
        <v>Central</v>
      </c>
      <c r="D39" s="2" t="str">
        <f>[1]Dataset!D39</f>
        <v>Furniture</v>
      </c>
      <c r="E39" s="3">
        <f>[1]Dataset!E39</f>
        <v>1410.06</v>
      </c>
      <c r="F39" s="4">
        <f>[1]Dataset!F39</f>
        <v>11</v>
      </c>
      <c r="G39" s="5">
        <f>[1]Dataset!G39</f>
        <v>0.05</v>
      </c>
      <c r="H39" s="6">
        <f>[1]Dataset!H39</f>
        <v>45434</v>
      </c>
      <c r="I39" s="3">
        <f>[1]Dataset!I39</f>
        <v>468.84</v>
      </c>
      <c r="J39" s="3">
        <f t="shared" si="0"/>
        <v>70.503</v>
      </c>
      <c r="K39" s="3">
        <f t="shared" si="1"/>
        <v>1339.557</v>
      </c>
      <c r="L39" s="7">
        <f t="shared" si="2"/>
        <v>0.33249648951108463</v>
      </c>
      <c r="M39" s="2" t="str">
        <f t="shared" si="3"/>
        <v>Profit</v>
      </c>
      <c r="N39" s="8">
        <f t="shared" si="4"/>
        <v>45413</v>
      </c>
      <c r="O39" s="49">
        <f t="shared" ca="1" si="5"/>
        <v>46317.962422337965</v>
      </c>
    </row>
    <row r="40" spans="1:15" x14ac:dyDescent="0.25">
      <c r="A40" s="48" t="str">
        <f>[1]Dataset!A40</f>
        <v>CUST008</v>
      </c>
      <c r="B40" s="2" t="str">
        <f>[1]Dataset!B40</f>
        <v>Mary Wilson</v>
      </c>
      <c r="C40" s="2" t="str">
        <f>[1]Dataset!C40</f>
        <v>Central</v>
      </c>
      <c r="D40" s="2" t="str">
        <f>[1]Dataset!D40</f>
        <v>Furniture</v>
      </c>
      <c r="E40" s="3">
        <f>[1]Dataset!E40</f>
        <v>773.09</v>
      </c>
      <c r="F40" s="4">
        <f>[1]Dataset!F40</f>
        <v>13</v>
      </c>
      <c r="G40" s="5">
        <f>[1]Dataset!G40</f>
        <v>0.15</v>
      </c>
      <c r="H40" s="6">
        <f>[1]Dataset!H40</f>
        <v>45434</v>
      </c>
      <c r="I40" s="3">
        <f>[1]Dataset!I40</f>
        <v>229.99</v>
      </c>
      <c r="J40" s="3">
        <f t="shared" si="0"/>
        <v>115.9635</v>
      </c>
      <c r="K40" s="3">
        <f t="shared" si="1"/>
        <v>657.12650000000008</v>
      </c>
      <c r="L40" s="7">
        <f t="shared" si="2"/>
        <v>0.29749447024279191</v>
      </c>
      <c r="M40" s="2" t="str">
        <f t="shared" si="3"/>
        <v>Profit</v>
      </c>
      <c r="N40" s="8">
        <f t="shared" si="4"/>
        <v>45413</v>
      </c>
      <c r="O40" s="49">
        <f t="shared" ca="1" si="5"/>
        <v>46317.962422337965</v>
      </c>
    </row>
    <row r="41" spans="1:15" x14ac:dyDescent="0.25">
      <c r="A41" s="48" t="str">
        <f>[1]Dataset!A41</f>
        <v>CUST016</v>
      </c>
      <c r="B41" s="2" t="str">
        <f>[1]Dataset!B41</f>
        <v>Emma Wilson</v>
      </c>
      <c r="C41" s="2" t="str">
        <f>[1]Dataset!C41</f>
        <v>East</v>
      </c>
      <c r="D41" s="2" t="str">
        <f>[1]Dataset!D41</f>
        <v>Books</v>
      </c>
      <c r="E41" s="3">
        <f>[1]Dataset!E41</f>
        <v>580.42999999999995</v>
      </c>
      <c r="F41" s="4">
        <f>[1]Dataset!F41</f>
        <v>19</v>
      </c>
      <c r="G41" s="5">
        <f>[1]Dataset!G41</f>
        <v>0.15</v>
      </c>
      <c r="H41" s="6">
        <f>[1]Dataset!H41</f>
        <v>45435</v>
      </c>
      <c r="I41" s="3">
        <f>[1]Dataset!I41</f>
        <v>197.35</v>
      </c>
      <c r="J41" s="3">
        <f t="shared" si="0"/>
        <v>87.064499999999995</v>
      </c>
      <c r="K41" s="3">
        <f t="shared" si="1"/>
        <v>493.36549999999994</v>
      </c>
      <c r="L41" s="7">
        <f t="shared" si="2"/>
        <v>0.3400065468704237</v>
      </c>
      <c r="M41" s="2" t="str">
        <f t="shared" si="3"/>
        <v>Profit</v>
      </c>
      <c r="N41" s="8">
        <f t="shared" si="4"/>
        <v>45413</v>
      </c>
      <c r="O41" s="49">
        <f t="shared" ca="1" si="5"/>
        <v>46317.962422337965</v>
      </c>
    </row>
    <row r="42" spans="1:15" x14ac:dyDescent="0.25">
      <c r="A42" s="48" t="str">
        <f>[1]Dataset!A42</f>
        <v>CUST005</v>
      </c>
      <c r="B42" s="2" t="str">
        <f>[1]Dataset!B42</f>
        <v>David Smith</v>
      </c>
      <c r="C42" s="2" t="str">
        <f>[1]Dataset!C42</f>
        <v>South</v>
      </c>
      <c r="D42" s="2" t="str">
        <f>[1]Dataset!D42</f>
        <v>Books</v>
      </c>
      <c r="E42" s="3">
        <f>[1]Dataset!E42</f>
        <v>1151.21</v>
      </c>
      <c r="F42" s="4">
        <f>[1]Dataset!F42</f>
        <v>15</v>
      </c>
      <c r="G42" s="5">
        <f>[1]Dataset!G42</f>
        <v>0.1</v>
      </c>
      <c r="H42" s="6">
        <f>[1]Dataset!H42</f>
        <v>45445</v>
      </c>
      <c r="I42" s="3">
        <f>[1]Dataset!I42</f>
        <v>414.44</v>
      </c>
      <c r="J42" s="3">
        <f t="shared" si="0"/>
        <v>115.12100000000001</v>
      </c>
      <c r="K42" s="3">
        <f t="shared" si="1"/>
        <v>1036.0889999999999</v>
      </c>
      <c r="L42" s="7">
        <f t="shared" si="2"/>
        <v>0.36000382206547893</v>
      </c>
      <c r="M42" s="2" t="str">
        <f t="shared" si="3"/>
        <v>Profit</v>
      </c>
      <c r="N42" s="8">
        <f t="shared" si="4"/>
        <v>45444</v>
      </c>
      <c r="O42" s="49">
        <f t="shared" ca="1" si="5"/>
        <v>46317.962422337965</v>
      </c>
    </row>
    <row r="43" spans="1:15" x14ac:dyDescent="0.25">
      <c r="A43" s="48" t="str">
        <f>[1]Dataset!A43</f>
        <v>CUST028</v>
      </c>
      <c r="B43" s="2" t="str">
        <f>[1]Dataset!B43</f>
        <v>James Wilson</v>
      </c>
      <c r="C43" s="2" t="str">
        <f>[1]Dataset!C43</f>
        <v>Central</v>
      </c>
      <c r="D43" s="2" t="str">
        <f>[1]Dataset!D43</f>
        <v>Office Supplies</v>
      </c>
      <c r="E43" s="3">
        <f>[1]Dataset!E43</f>
        <v>1025.98</v>
      </c>
      <c r="F43" s="4">
        <f>[1]Dataset!F43</f>
        <v>5</v>
      </c>
      <c r="G43" s="5">
        <f>[1]Dataset!G43</f>
        <v>0.2</v>
      </c>
      <c r="H43" s="6">
        <f>[1]Dataset!H43</f>
        <v>45447</v>
      </c>
      <c r="I43" s="3">
        <f>[1]Dataset!I43</f>
        <v>369.35</v>
      </c>
      <c r="J43" s="3">
        <f t="shared" si="0"/>
        <v>205.19600000000003</v>
      </c>
      <c r="K43" s="3">
        <f t="shared" si="1"/>
        <v>820.78399999999999</v>
      </c>
      <c r="L43" s="7">
        <f t="shared" si="2"/>
        <v>0.35999727090196693</v>
      </c>
      <c r="M43" s="2" t="str">
        <f t="shared" si="3"/>
        <v>Profit</v>
      </c>
      <c r="N43" s="8">
        <f t="shared" si="4"/>
        <v>45444</v>
      </c>
      <c r="O43" s="49">
        <f t="shared" ca="1" si="5"/>
        <v>46317.962422337965</v>
      </c>
    </row>
    <row r="44" spans="1:15" x14ac:dyDescent="0.25">
      <c r="A44" s="48" t="str">
        <f>[1]Dataset!A44</f>
        <v>CUST023</v>
      </c>
      <c r="B44" s="2" t="str">
        <f>[1]Dataset!B44</f>
        <v>David Davis</v>
      </c>
      <c r="C44" s="2" t="str">
        <f>[1]Dataset!C44</f>
        <v>East</v>
      </c>
      <c r="D44" s="2" t="str">
        <f>[1]Dataset!D44</f>
        <v>Office Supplies</v>
      </c>
      <c r="E44" s="3">
        <f>[1]Dataset!E44</f>
        <v>556.41999999999996</v>
      </c>
      <c r="F44" s="4">
        <f>[1]Dataset!F44</f>
        <v>11</v>
      </c>
      <c r="G44" s="5">
        <f>[1]Dataset!G44</f>
        <v>0.15</v>
      </c>
      <c r="H44" s="6">
        <f>[1]Dataset!H44</f>
        <v>45447</v>
      </c>
      <c r="I44" s="3">
        <f>[1]Dataset!I44</f>
        <v>212.83</v>
      </c>
      <c r="J44" s="3">
        <f t="shared" si="0"/>
        <v>83.462999999999994</v>
      </c>
      <c r="K44" s="3">
        <f t="shared" si="1"/>
        <v>472.95699999999999</v>
      </c>
      <c r="L44" s="7">
        <f t="shared" si="2"/>
        <v>0.38249883181769173</v>
      </c>
      <c r="M44" s="2" t="str">
        <f t="shared" si="3"/>
        <v>Profit</v>
      </c>
      <c r="N44" s="8">
        <f t="shared" si="4"/>
        <v>45444</v>
      </c>
      <c r="O44" s="49">
        <f t="shared" ca="1" si="5"/>
        <v>46317.962422337965</v>
      </c>
    </row>
    <row r="45" spans="1:15" x14ac:dyDescent="0.25">
      <c r="A45" s="48" t="str">
        <f>[1]Dataset!A45</f>
        <v>CUST021</v>
      </c>
      <c r="B45" s="2" t="str">
        <f>[1]Dataset!B45</f>
        <v>James Wilson</v>
      </c>
      <c r="C45" s="2" t="str">
        <f>[1]Dataset!C45</f>
        <v>Central</v>
      </c>
      <c r="D45" s="2" t="str">
        <f>[1]Dataset!D45</f>
        <v>Books</v>
      </c>
      <c r="E45" s="3">
        <f>[1]Dataset!E45</f>
        <v>840.85</v>
      </c>
      <c r="F45" s="4">
        <f>[1]Dataset!F45</f>
        <v>19</v>
      </c>
      <c r="G45" s="5">
        <f>[1]Dataset!G45</f>
        <v>0.1</v>
      </c>
      <c r="H45" s="6">
        <f>[1]Dataset!H45</f>
        <v>45448</v>
      </c>
      <c r="I45" s="3">
        <f>[1]Dataset!I45</f>
        <v>302.70999999999998</v>
      </c>
      <c r="J45" s="3">
        <f t="shared" si="0"/>
        <v>84.085000000000008</v>
      </c>
      <c r="K45" s="3">
        <f t="shared" si="1"/>
        <v>756.76499999999999</v>
      </c>
      <c r="L45" s="7">
        <f t="shared" si="2"/>
        <v>0.3600047570910388</v>
      </c>
      <c r="M45" s="2" t="str">
        <f t="shared" si="3"/>
        <v>Profit</v>
      </c>
      <c r="N45" s="8">
        <f t="shared" si="4"/>
        <v>45444</v>
      </c>
      <c r="O45" s="49">
        <f t="shared" ca="1" si="5"/>
        <v>46317.962422337965</v>
      </c>
    </row>
    <row r="46" spans="1:15" x14ac:dyDescent="0.25">
      <c r="A46" s="48" t="str">
        <f>[1]Dataset!A46</f>
        <v>CUST026</v>
      </c>
      <c r="B46" s="2" t="str">
        <f>[1]Dataset!B46</f>
        <v>Emma Wilson</v>
      </c>
      <c r="C46" s="2" t="str">
        <f>[1]Dataset!C46</f>
        <v>North</v>
      </c>
      <c r="D46" s="2" t="str">
        <f>[1]Dataset!D46</f>
        <v>Furniture</v>
      </c>
      <c r="E46" s="3">
        <f>[1]Dataset!E46</f>
        <v>1227.25</v>
      </c>
      <c r="F46" s="4">
        <f>[1]Dataset!F46</f>
        <v>12</v>
      </c>
      <c r="G46" s="5">
        <f>[1]Dataset!G46</f>
        <v>0.15</v>
      </c>
      <c r="H46" s="6">
        <f>[1]Dataset!H46</f>
        <v>45448</v>
      </c>
      <c r="I46" s="3">
        <f>[1]Dataset!I46</f>
        <v>365.11</v>
      </c>
      <c r="J46" s="3">
        <f t="shared" si="0"/>
        <v>184.08750000000001</v>
      </c>
      <c r="K46" s="3">
        <f t="shared" si="1"/>
        <v>1043.1624999999999</v>
      </c>
      <c r="L46" s="7">
        <f t="shared" si="2"/>
        <v>0.2975025463434508</v>
      </c>
      <c r="M46" s="2" t="str">
        <f t="shared" si="3"/>
        <v>Profit</v>
      </c>
      <c r="N46" s="8">
        <f t="shared" si="4"/>
        <v>45444</v>
      </c>
      <c r="O46" s="49">
        <f t="shared" ca="1" si="5"/>
        <v>46317.962422337965</v>
      </c>
    </row>
    <row r="47" spans="1:15" x14ac:dyDescent="0.25">
      <c r="A47" s="48" t="str">
        <f>[1]Dataset!A47</f>
        <v>CUST017</v>
      </c>
      <c r="B47" s="2" t="str">
        <f>[1]Dataset!B47</f>
        <v>Linda Davis</v>
      </c>
      <c r="C47" s="2" t="str">
        <f>[1]Dataset!C47</f>
        <v>Central</v>
      </c>
      <c r="D47" s="2" t="str">
        <f>[1]Dataset!D47</f>
        <v>Electronics</v>
      </c>
      <c r="E47" s="3">
        <f>[1]Dataset!E47</f>
        <v>856.7</v>
      </c>
      <c r="F47" s="4">
        <f>[1]Dataset!F47</f>
        <v>2</v>
      </c>
      <c r="G47" s="5">
        <f>[1]Dataset!G47</f>
        <v>0</v>
      </c>
      <c r="H47" s="6">
        <f>[1]Dataset!H47</f>
        <v>45449</v>
      </c>
      <c r="I47" s="3">
        <f>[1]Dataset!I47</f>
        <v>214.18</v>
      </c>
      <c r="J47" s="3">
        <f t="shared" si="0"/>
        <v>0</v>
      </c>
      <c r="K47" s="3">
        <f t="shared" si="1"/>
        <v>856.7</v>
      </c>
      <c r="L47" s="7">
        <f t="shared" si="2"/>
        <v>0.25000583634878021</v>
      </c>
      <c r="M47" s="2" t="str">
        <f t="shared" si="3"/>
        <v>Profit</v>
      </c>
      <c r="N47" s="8">
        <f t="shared" si="4"/>
        <v>45444</v>
      </c>
      <c r="O47" s="49">
        <f t="shared" ca="1" si="5"/>
        <v>46317.962422337965</v>
      </c>
    </row>
    <row r="48" spans="1:15" x14ac:dyDescent="0.25">
      <c r="A48" s="48" t="str">
        <f>[1]Dataset!A48</f>
        <v>CUST025</v>
      </c>
      <c r="B48" s="2" t="str">
        <f>[1]Dataset!B48</f>
        <v>David Davis</v>
      </c>
      <c r="C48" s="2" t="str">
        <f>[1]Dataset!C48</f>
        <v>Central</v>
      </c>
      <c r="D48" s="2" t="str">
        <f>[1]Dataset!D48</f>
        <v>Office Supplies</v>
      </c>
      <c r="E48" s="3">
        <f>[1]Dataset!E48</f>
        <v>1225.42</v>
      </c>
      <c r="F48" s="4">
        <f>[1]Dataset!F48</f>
        <v>8</v>
      </c>
      <c r="G48" s="5">
        <f>[1]Dataset!G48</f>
        <v>0.15</v>
      </c>
      <c r="H48" s="6">
        <f>[1]Dataset!H48</f>
        <v>45449</v>
      </c>
      <c r="I48" s="3">
        <f>[1]Dataset!I48</f>
        <v>468.72</v>
      </c>
      <c r="J48" s="3">
        <f t="shared" si="0"/>
        <v>183.81300000000002</v>
      </c>
      <c r="K48" s="3">
        <f t="shared" si="1"/>
        <v>1041.607</v>
      </c>
      <c r="L48" s="7">
        <f t="shared" si="2"/>
        <v>0.38249742945275905</v>
      </c>
      <c r="M48" s="2" t="str">
        <f t="shared" si="3"/>
        <v>Profit</v>
      </c>
      <c r="N48" s="8">
        <f t="shared" si="4"/>
        <v>45444</v>
      </c>
      <c r="O48" s="49">
        <f t="shared" ca="1" si="5"/>
        <v>46317.962422337965</v>
      </c>
    </row>
    <row r="49" spans="1:15" x14ac:dyDescent="0.25">
      <c r="A49" s="48" t="str">
        <f>[1]Dataset!A49</f>
        <v>CUST011</v>
      </c>
      <c r="B49" s="2" t="str">
        <f>[1]Dataset!B49</f>
        <v>Mary Davis</v>
      </c>
      <c r="C49" s="2" t="str">
        <f>[1]Dataset!C49</f>
        <v>North</v>
      </c>
      <c r="D49" s="2" t="str">
        <f>[1]Dataset!D49</f>
        <v>Office Supplies</v>
      </c>
      <c r="E49" s="3">
        <f>[1]Dataset!E49</f>
        <v>1001.57</v>
      </c>
      <c r="F49" s="4">
        <f>[1]Dataset!F49</f>
        <v>12</v>
      </c>
      <c r="G49" s="5">
        <f>[1]Dataset!G49</f>
        <v>0</v>
      </c>
      <c r="H49" s="6">
        <f>[1]Dataset!H49</f>
        <v>45450</v>
      </c>
      <c r="I49" s="3">
        <f>[1]Dataset!I49</f>
        <v>450.71</v>
      </c>
      <c r="J49" s="3">
        <f t="shared" si="0"/>
        <v>0</v>
      </c>
      <c r="K49" s="3">
        <f t="shared" si="1"/>
        <v>1001.57</v>
      </c>
      <c r="L49" s="7">
        <f t="shared" si="2"/>
        <v>0.4500034945136136</v>
      </c>
      <c r="M49" s="2" t="str">
        <f t="shared" si="3"/>
        <v>Profit</v>
      </c>
      <c r="N49" s="8">
        <f t="shared" si="4"/>
        <v>45444</v>
      </c>
      <c r="O49" s="49">
        <f t="shared" ca="1" si="5"/>
        <v>46317.962422337965</v>
      </c>
    </row>
    <row r="50" spans="1:15" x14ac:dyDescent="0.25">
      <c r="A50" s="48" t="str">
        <f>[1]Dataset!A50</f>
        <v>CUST021</v>
      </c>
      <c r="B50" s="2" t="str">
        <f>[1]Dataset!B50</f>
        <v>Michael Anderson</v>
      </c>
      <c r="C50" s="2" t="str">
        <f>[1]Dataset!C50</f>
        <v>East</v>
      </c>
      <c r="D50" s="2" t="str">
        <f>[1]Dataset!D50</f>
        <v>Furniture</v>
      </c>
      <c r="E50" s="3">
        <f>[1]Dataset!E50</f>
        <v>1186.8499999999999</v>
      </c>
      <c r="F50" s="4">
        <f>[1]Dataset!F50</f>
        <v>19</v>
      </c>
      <c r="G50" s="5">
        <f>[1]Dataset!G50</f>
        <v>0.2</v>
      </c>
      <c r="H50" s="6">
        <f>[1]Dataset!H50</f>
        <v>45451</v>
      </c>
      <c r="I50" s="3">
        <f>[1]Dataset!I50</f>
        <v>332.32</v>
      </c>
      <c r="J50" s="3">
        <f t="shared" si="0"/>
        <v>237.37</v>
      </c>
      <c r="K50" s="3">
        <f t="shared" si="1"/>
        <v>949.4799999999999</v>
      </c>
      <c r="L50" s="7">
        <f t="shared" si="2"/>
        <v>0.2800016851329149</v>
      </c>
      <c r="M50" s="2" t="str">
        <f t="shared" si="3"/>
        <v>Profit</v>
      </c>
      <c r="N50" s="8">
        <f t="shared" si="4"/>
        <v>45444</v>
      </c>
      <c r="O50" s="49">
        <f t="shared" ca="1" si="5"/>
        <v>46317.962422337965</v>
      </c>
    </row>
    <row r="51" spans="1:15" x14ac:dyDescent="0.25">
      <c r="A51" s="48" t="str">
        <f>[1]Dataset!A51</f>
        <v>CUST008</v>
      </c>
      <c r="B51" s="2" t="str">
        <f>[1]Dataset!B51</f>
        <v>John Brown</v>
      </c>
      <c r="C51" s="2" t="str">
        <f>[1]Dataset!C51</f>
        <v>South</v>
      </c>
      <c r="D51" s="2" t="str">
        <f>[1]Dataset!D51</f>
        <v>Electronics</v>
      </c>
      <c r="E51" s="3">
        <f>[1]Dataset!E51</f>
        <v>775.45</v>
      </c>
      <c r="F51" s="4">
        <f>[1]Dataset!F51</f>
        <v>6</v>
      </c>
      <c r="G51" s="5">
        <f>[1]Dataset!G51</f>
        <v>0.1</v>
      </c>
      <c r="H51" s="6">
        <f>[1]Dataset!H51</f>
        <v>45457</v>
      </c>
      <c r="I51" s="3">
        <f>[1]Dataset!I51</f>
        <v>174.48</v>
      </c>
      <c r="J51" s="3">
        <f t="shared" si="0"/>
        <v>77.545000000000016</v>
      </c>
      <c r="K51" s="3">
        <f t="shared" si="1"/>
        <v>697.90499999999997</v>
      </c>
      <c r="L51" s="7">
        <f t="shared" si="2"/>
        <v>0.22500483590173445</v>
      </c>
      <c r="M51" s="2" t="str">
        <f t="shared" si="3"/>
        <v>Profit</v>
      </c>
      <c r="N51" s="8">
        <f t="shared" si="4"/>
        <v>45444</v>
      </c>
      <c r="O51" s="49">
        <f t="shared" ca="1" si="5"/>
        <v>46317.962422337965</v>
      </c>
    </row>
    <row r="52" spans="1:15" x14ac:dyDescent="0.25">
      <c r="A52" s="48" t="str">
        <f>[1]Dataset!A52</f>
        <v>CUST007</v>
      </c>
      <c r="B52" s="2" t="str">
        <f>[1]Dataset!B52</f>
        <v>Linda Jackson</v>
      </c>
      <c r="C52" s="2" t="str">
        <f>[1]Dataset!C52</f>
        <v>South</v>
      </c>
      <c r="D52" s="2" t="str">
        <f>[1]Dataset!D52</f>
        <v>Electronics</v>
      </c>
      <c r="E52" s="3">
        <f>[1]Dataset!E52</f>
        <v>1021.47</v>
      </c>
      <c r="F52" s="4">
        <f>[1]Dataset!F52</f>
        <v>6</v>
      </c>
      <c r="G52" s="5">
        <f>[1]Dataset!G52</f>
        <v>0.05</v>
      </c>
      <c r="H52" s="6">
        <f>[1]Dataset!H52</f>
        <v>45461</v>
      </c>
      <c r="I52" s="3">
        <f>[1]Dataset!I52</f>
        <v>242.6</v>
      </c>
      <c r="J52" s="3">
        <f t="shared" si="0"/>
        <v>51.073500000000003</v>
      </c>
      <c r="K52" s="3">
        <f t="shared" si="1"/>
        <v>970.39650000000006</v>
      </c>
      <c r="L52" s="7">
        <f t="shared" si="2"/>
        <v>0.23750085660861306</v>
      </c>
      <c r="M52" s="2" t="str">
        <f t="shared" si="3"/>
        <v>Profit</v>
      </c>
      <c r="N52" s="8">
        <f t="shared" si="4"/>
        <v>45444</v>
      </c>
      <c r="O52" s="49">
        <f t="shared" ca="1" si="5"/>
        <v>46317.962422337965</v>
      </c>
    </row>
    <row r="53" spans="1:15" x14ac:dyDescent="0.25">
      <c r="A53" s="48" t="str">
        <f>[1]Dataset!A53</f>
        <v>CUST015</v>
      </c>
      <c r="B53" s="2" t="str">
        <f>[1]Dataset!B53</f>
        <v>James Wilson</v>
      </c>
      <c r="C53" s="2" t="str">
        <f>[1]Dataset!C53</f>
        <v>South</v>
      </c>
      <c r="D53" s="2" t="str">
        <f>[1]Dataset!D53</f>
        <v>Clothing</v>
      </c>
      <c r="E53" s="3">
        <f>[1]Dataset!E53</f>
        <v>1226.6199999999999</v>
      </c>
      <c r="F53" s="4">
        <f>[1]Dataset!F53</f>
        <v>7</v>
      </c>
      <c r="G53" s="5">
        <f>[1]Dataset!G53</f>
        <v>0.1</v>
      </c>
      <c r="H53" s="6">
        <f>[1]Dataset!H53</f>
        <v>45463</v>
      </c>
      <c r="I53" s="3">
        <f>[1]Dataset!I53</f>
        <v>551.98</v>
      </c>
      <c r="J53" s="3">
        <f t="shared" si="0"/>
        <v>122.66199999999999</v>
      </c>
      <c r="K53" s="3">
        <f t="shared" si="1"/>
        <v>1103.9579999999999</v>
      </c>
      <c r="L53" s="7">
        <f t="shared" si="2"/>
        <v>0.45000081524840624</v>
      </c>
      <c r="M53" s="2" t="str">
        <f t="shared" si="3"/>
        <v>Profit</v>
      </c>
      <c r="N53" s="8">
        <f t="shared" si="4"/>
        <v>45444</v>
      </c>
      <c r="O53" s="49">
        <f t="shared" ca="1" si="5"/>
        <v>46317.962422337965</v>
      </c>
    </row>
    <row r="54" spans="1:15" x14ac:dyDescent="0.25">
      <c r="A54" s="48" t="str">
        <f>[1]Dataset!A54</f>
        <v>CUST030</v>
      </c>
      <c r="B54" s="2" t="str">
        <f>[1]Dataset!B54</f>
        <v>Sarah Davis</v>
      </c>
      <c r="C54" s="2" t="str">
        <f>[1]Dataset!C54</f>
        <v>South</v>
      </c>
      <c r="D54" s="2" t="str">
        <f>[1]Dataset!D54</f>
        <v>Furniture</v>
      </c>
      <c r="E54" s="3">
        <f>[1]Dataset!E54</f>
        <v>1086.93</v>
      </c>
      <c r="F54" s="4">
        <f>[1]Dataset!F54</f>
        <v>2</v>
      </c>
      <c r="G54" s="5">
        <f>[1]Dataset!G54</f>
        <v>0</v>
      </c>
      <c r="H54" s="6">
        <f>[1]Dataset!H54</f>
        <v>45464</v>
      </c>
      <c r="I54" s="3">
        <f>[1]Dataset!I54</f>
        <v>380.43</v>
      </c>
      <c r="J54" s="3">
        <f t="shared" si="0"/>
        <v>0</v>
      </c>
      <c r="K54" s="3">
        <f t="shared" si="1"/>
        <v>1086.93</v>
      </c>
      <c r="L54" s="7">
        <f t="shared" si="2"/>
        <v>0.35000414010101843</v>
      </c>
      <c r="M54" s="2" t="str">
        <f t="shared" si="3"/>
        <v>Profit</v>
      </c>
      <c r="N54" s="8">
        <f t="shared" si="4"/>
        <v>45444</v>
      </c>
      <c r="O54" s="49">
        <f t="shared" ca="1" si="5"/>
        <v>46317.962422337965</v>
      </c>
    </row>
    <row r="55" spans="1:15" x14ac:dyDescent="0.25">
      <c r="A55" s="48" t="str">
        <f>[1]Dataset!A55</f>
        <v>CUST002</v>
      </c>
      <c r="B55" s="2" t="str">
        <f>[1]Dataset!B55</f>
        <v>Lisa Davis</v>
      </c>
      <c r="C55" s="2" t="str">
        <f>[1]Dataset!C55</f>
        <v>West</v>
      </c>
      <c r="D55" s="2" t="str">
        <f>[1]Dataset!D55</f>
        <v>Books</v>
      </c>
      <c r="E55" s="3">
        <f>[1]Dataset!E55</f>
        <v>942.9</v>
      </c>
      <c r="F55" s="4">
        <f>[1]Dataset!F55</f>
        <v>18</v>
      </c>
      <c r="G55" s="5">
        <f>[1]Dataset!G55</f>
        <v>0.1</v>
      </c>
      <c r="H55" s="6">
        <f>[1]Dataset!H55</f>
        <v>45466</v>
      </c>
      <c r="I55" s="3">
        <f>[1]Dataset!I55</f>
        <v>339.44</v>
      </c>
      <c r="J55" s="3">
        <f t="shared" si="0"/>
        <v>94.29</v>
      </c>
      <c r="K55" s="3">
        <f t="shared" si="1"/>
        <v>848.61</v>
      </c>
      <c r="L55" s="7">
        <f t="shared" si="2"/>
        <v>0.35999575776858628</v>
      </c>
      <c r="M55" s="2" t="str">
        <f t="shared" si="3"/>
        <v>Profit</v>
      </c>
      <c r="N55" s="8">
        <f t="shared" si="4"/>
        <v>45444</v>
      </c>
      <c r="O55" s="49">
        <f t="shared" ca="1" si="5"/>
        <v>46317.962422337965</v>
      </c>
    </row>
    <row r="56" spans="1:15" x14ac:dyDescent="0.25">
      <c r="A56" s="48" t="str">
        <f>[1]Dataset!A56</f>
        <v>CUST009</v>
      </c>
      <c r="B56" s="2" t="str">
        <f>[1]Dataset!B56</f>
        <v>Emma Davis</v>
      </c>
      <c r="C56" s="2" t="str">
        <f>[1]Dataset!C56</f>
        <v>North</v>
      </c>
      <c r="D56" s="2" t="str">
        <f>[1]Dataset!D56</f>
        <v>Electronics</v>
      </c>
      <c r="E56" s="3">
        <f>[1]Dataset!E56</f>
        <v>818.8</v>
      </c>
      <c r="F56" s="4">
        <f>[1]Dataset!F56</f>
        <v>15</v>
      </c>
      <c r="G56" s="5">
        <f>[1]Dataset!G56</f>
        <v>0.15</v>
      </c>
      <c r="H56" s="6">
        <f>[1]Dataset!H56</f>
        <v>45468</v>
      </c>
      <c r="I56" s="3">
        <f>[1]Dataset!I56</f>
        <v>173.99</v>
      </c>
      <c r="J56" s="3">
        <f t="shared" si="0"/>
        <v>122.82</v>
      </c>
      <c r="K56" s="3">
        <f t="shared" si="1"/>
        <v>695.98</v>
      </c>
      <c r="L56" s="7">
        <f t="shared" si="2"/>
        <v>0.21249389350268688</v>
      </c>
      <c r="M56" s="2" t="str">
        <f t="shared" si="3"/>
        <v>Profit</v>
      </c>
      <c r="N56" s="8">
        <f t="shared" si="4"/>
        <v>45444</v>
      </c>
      <c r="O56" s="49">
        <f t="shared" ca="1" si="5"/>
        <v>46317.962422337965</v>
      </c>
    </row>
    <row r="57" spans="1:15" x14ac:dyDescent="0.25">
      <c r="A57" s="48" t="str">
        <f>[1]Dataset!A57</f>
        <v>CUST005</v>
      </c>
      <c r="B57" s="2" t="str">
        <f>[1]Dataset!B57</f>
        <v>Robert Anderson</v>
      </c>
      <c r="C57" s="2" t="str">
        <f>[1]Dataset!C57</f>
        <v>South</v>
      </c>
      <c r="D57" s="2" t="str">
        <f>[1]Dataset!D57</f>
        <v>Furniture</v>
      </c>
      <c r="E57" s="3">
        <f>[1]Dataset!E57</f>
        <v>919.04</v>
      </c>
      <c r="F57" s="4">
        <f>[1]Dataset!F57</f>
        <v>10</v>
      </c>
      <c r="G57" s="5">
        <f>[1]Dataset!G57</f>
        <v>0.2</v>
      </c>
      <c r="H57" s="6">
        <f>[1]Dataset!H57</f>
        <v>45468</v>
      </c>
      <c r="I57" s="3">
        <f>[1]Dataset!I57</f>
        <v>257.33</v>
      </c>
      <c r="J57" s="3">
        <f t="shared" si="0"/>
        <v>183.80799999999999</v>
      </c>
      <c r="K57" s="3">
        <f t="shared" si="1"/>
        <v>735.23199999999997</v>
      </c>
      <c r="L57" s="7">
        <f t="shared" si="2"/>
        <v>0.27999869428969359</v>
      </c>
      <c r="M57" s="2" t="str">
        <f t="shared" si="3"/>
        <v>Profit</v>
      </c>
      <c r="N57" s="8">
        <f t="shared" si="4"/>
        <v>45444</v>
      </c>
      <c r="O57" s="49">
        <f t="shared" ca="1" si="5"/>
        <v>46317.962422337965</v>
      </c>
    </row>
    <row r="58" spans="1:15" x14ac:dyDescent="0.25">
      <c r="A58" s="48" t="str">
        <f>[1]Dataset!A58</f>
        <v>CUST030</v>
      </c>
      <c r="B58" s="2" t="str">
        <f>[1]Dataset!B58</f>
        <v>Emma Taylor</v>
      </c>
      <c r="C58" s="2" t="str">
        <f>[1]Dataset!C58</f>
        <v>Central</v>
      </c>
      <c r="D58" s="2" t="str">
        <f>[1]Dataset!D58</f>
        <v>Books</v>
      </c>
      <c r="E58" s="3">
        <f>[1]Dataset!E58</f>
        <v>973.26</v>
      </c>
      <c r="F58" s="4">
        <f>[1]Dataset!F58</f>
        <v>11</v>
      </c>
      <c r="G58" s="5">
        <f>[1]Dataset!G58</f>
        <v>0</v>
      </c>
      <c r="H58" s="6">
        <f>[1]Dataset!H58</f>
        <v>45470</v>
      </c>
      <c r="I58" s="3">
        <f>[1]Dataset!I58</f>
        <v>389.3</v>
      </c>
      <c r="J58" s="3">
        <f t="shared" si="0"/>
        <v>0</v>
      </c>
      <c r="K58" s="3">
        <f t="shared" si="1"/>
        <v>973.26</v>
      </c>
      <c r="L58" s="7">
        <f t="shared" si="2"/>
        <v>0.39999589010130904</v>
      </c>
      <c r="M58" s="2" t="str">
        <f t="shared" si="3"/>
        <v>Profit</v>
      </c>
      <c r="N58" s="8">
        <f t="shared" si="4"/>
        <v>45444</v>
      </c>
      <c r="O58" s="49">
        <f t="shared" ca="1" si="5"/>
        <v>46317.962422337965</v>
      </c>
    </row>
    <row r="59" spans="1:15" x14ac:dyDescent="0.25">
      <c r="A59" s="48" t="str">
        <f>[1]Dataset!A59</f>
        <v>CUST029</v>
      </c>
      <c r="B59" s="2" t="str">
        <f>[1]Dataset!B59</f>
        <v>Sarah Davis</v>
      </c>
      <c r="C59" s="2" t="str">
        <f>[1]Dataset!C59</f>
        <v>North</v>
      </c>
      <c r="D59" s="2" t="str">
        <f>[1]Dataset!D59</f>
        <v>Electronics</v>
      </c>
      <c r="E59" s="3">
        <f>[1]Dataset!E59</f>
        <v>741.61</v>
      </c>
      <c r="F59" s="4">
        <f>[1]Dataset!F59</f>
        <v>1</v>
      </c>
      <c r="G59" s="5">
        <f>[1]Dataset!G59</f>
        <v>0.2</v>
      </c>
      <c r="H59" s="6">
        <f>[1]Dataset!H59</f>
        <v>45471</v>
      </c>
      <c r="I59" s="3">
        <f>[1]Dataset!I59</f>
        <v>148.32</v>
      </c>
      <c r="J59" s="3">
        <f t="shared" si="0"/>
        <v>148.322</v>
      </c>
      <c r="K59" s="3">
        <f t="shared" si="1"/>
        <v>593.28800000000001</v>
      </c>
      <c r="L59" s="7">
        <f t="shared" si="2"/>
        <v>0.19999730316473616</v>
      </c>
      <c r="M59" s="2" t="str">
        <f t="shared" si="3"/>
        <v>Profit</v>
      </c>
      <c r="N59" s="8">
        <f t="shared" si="4"/>
        <v>45444</v>
      </c>
      <c r="O59" s="49">
        <f t="shared" ca="1" si="5"/>
        <v>46317.962422337965</v>
      </c>
    </row>
    <row r="60" spans="1:15" x14ac:dyDescent="0.25">
      <c r="A60" s="48" t="str">
        <f>[1]Dataset!A60</f>
        <v>CUST003</v>
      </c>
      <c r="B60" s="2" t="str">
        <f>[1]Dataset!B60</f>
        <v>Emma Davis</v>
      </c>
      <c r="C60" s="2" t="str">
        <f>[1]Dataset!C60</f>
        <v>North</v>
      </c>
      <c r="D60" s="2" t="str">
        <f>[1]Dataset!D60</f>
        <v>Books</v>
      </c>
      <c r="E60" s="3">
        <f>[1]Dataset!E60</f>
        <v>1248.82</v>
      </c>
      <c r="F60" s="4">
        <f>[1]Dataset!F60</f>
        <v>2</v>
      </c>
      <c r="G60" s="5">
        <f>[1]Dataset!G60</f>
        <v>0.1</v>
      </c>
      <c r="H60" s="6">
        <f>[1]Dataset!H60</f>
        <v>45473</v>
      </c>
      <c r="I60" s="3">
        <f>[1]Dataset!I60</f>
        <v>449.58</v>
      </c>
      <c r="J60" s="3">
        <f t="shared" si="0"/>
        <v>124.88200000000001</v>
      </c>
      <c r="K60" s="3">
        <f t="shared" si="1"/>
        <v>1123.9379999999999</v>
      </c>
      <c r="L60" s="7">
        <f t="shared" si="2"/>
        <v>0.36000384362838522</v>
      </c>
      <c r="M60" s="2" t="str">
        <f t="shared" si="3"/>
        <v>Profit</v>
      </c>
      <c r="N60" s="8">
        <f t="shared" si="4"/>
        <v>45444</v>
      </c>
      <c r="O60" s="49">
        <f t="shared" ca="1" si="5"/>
        <v>46317.962422337965</v>
      </c>
    </row>
    <row r="61" spans="1:15" x14ac:dyDescent="0.25">
      <c r="A61" s="48" t="str">
        <f>[1]Dataset!A61</f>
        <v>CUST012</v>
      </c>
      <c r="B61" s="2" t="str">
        <f>[1]Dataset!B61</f>
        <v>Mary Wilson</v>
      </c>
      <c r="C61" s="2" t="str">
        <f>[1]Dataset!C61</f>
        <v>West</v>
      </c>
      <c r="D61" s="2" t="str">
        <f>[1]Dataset!D61</f>
        <v>Clothing</v>
      </c>
      <c r="E61" s="3">
        <f>[1]Dataset!E61</f>
        <v>1360.36</v>
      </c>
      <c r="F61" s="4">
        <f>[1]Dataset!F61</f>
        <v>17</v>
      </c>
      <c r="G61" s="5">
        <f>[1]Dataset!G61</f>
        <v>0</v>
      </c>
      <c r="H61" s="6">
        <f>[1]Dataset!H61</f>
        <v>45473</v>
      </c>
      <c r="I61" s="3">
        <f>[1]Dataset!I61</f>
        <v>680.18</v>
      </c>
      <c r="J61" s="3">
        <f t="shared" si="0"/>
        <v>0</v>
      </c>
      <c r="K61" s="3">
        <f t="shared" si="1"/>
        <v>1360.36</v>
      </c>
      <c r="L61" s="7">
        <f t="shared" si="2"/>
        <v>0.5</v>
      </c>
      <c r="M61" s="2" t="str">
        <f t="shared" si="3"/>
        <v>Profit</v>
      </c>
      <c r="N61" s="8">
        <f t="shared" si="4"/>
        <v>45444</v>
      </c>
      <c r="O61" s="49">
        <f t="shared" ca="1" si="5"/>
        <v>46317.962422337965</v>
      </c>
    </row>
    <row r="62" spans="1:15" x14ac:dyDescent="0.25">
      <c r="A62" s="48" t="str">
        <f>[1]Dataset!A62</f>
        <v>CUST021</v>
      </c>
      <c r="B62" s="2" t="str">
        <f>[1]Dataset!B62</f>
        <v>Mary Davis</v>
      </c>
      <c r="C62" s="2" t="str">
        <f>[1]Dataset!C62</f>
        <v>East</v>
      </c>
      <c r="D62" s="2" t="str">
        <f>[1]Dataset!D62</f>
        <v>Books</v>
      </c>
      <c r="E62" s="3">
        <f>[1]Dataset!E62</f>
        <v>1383.3</v>
      </c>
      <c r="F62" s="4">
        <f>[1]Dataset!F62</f>
        <v>8</v>
      </c>
      <c r="G62" s="5">
        <f>[1]Dataset!G62</f>
        <v>0.1</v>
      </c>
      <c r="H62" s="6">
        <f>[1]Dataset!H62</f>
        <v>45478</v>
      </c>
      <c r="I62" s="3">
        <f>[1]Dataset!I62</f>
        <v>497.99</v>
      </c>
      <c r="J62" s="3">
        <f t="shared" si="0"/>
        <v>138.33000000000001</v>
      </c>
      <c r="K62" s="3">
        <f t="shared" si="1"/>
        <v>1244.97</v>
      </c>
      <c r="L62" s="7">
        <f t="shared" si="2"/>
        <v>0.36000144581797155</v>
      </c>
      <c r="M62" s="2" t="str">
        <f t="shared" si="3"/>
        <v>Profit</v>
      </c>
      <c r="N62" s="8">
        <f t="shared" si="4"/>
        <v>45474</v>
      </c>
      <c r="O62" s="49">
        <f t="shared" ca="1" si="5"/>
        <v>46317.962422337965</v>
      </c>
    </row>
    <row r="63" spans="1:15" x14ac:dyDescent="0.25">
      <c r="A63" s="48" t="str">
        <f>[1]Dataset!A63</f>
        <v>CUST010</v>
      </c>
      <c r="B63" s="2" t="str">
        <f>[1]Dataset!B63</f>
        <v>David Brown</v>
      </c>
      <c r="C63" s="2" t="str">
        <f>[1]Dataset!C63</f>
        <v>Central</v>
      </c>
      <c r="D63" s="2" t="str">
        <f>[1]Dataset!D63</f>
        <v>Office Supplies</v>
      </c>
      <c r="E63" s="3">
        <f>[1]Dataset!E63</f>
        <v>488.99</v>
      </c>
      <c r="F63" s="4">
        <f>[1]Dataset!F63</f>
        <v>9</v>
      </c>
      <c r="G63" s="5">
        <f>[1]Dataset!G63</f>
        <v>0</v>
      </c>
      <c r="H63" s="6">
        <f>[1]Dataset!H63</f>
        <v>45479</v>
      </c>
      <c r="I63" s="3">
        <f>[1]Dataset!I63</f>
        <v>220.05</v>
      </c>
      <c r="J63" s="3">
        <f t="shared" si="0"/>
        <v>0</v>
      </c>
      <c r="K63" s="3">
        <f t="shared" si="1"/>
        <v>488.99</v>
      </c>
      <c r="L63" s="7">
        <f t="shared" si="2"/>
        <v>0.45000920264218086</v>
      </c>
      <c r="M63" s="2" t="str">
        <f t="shared" si="3"/>
        <v>Profit</v>
      </c>
      <c r="N63" s="8">
        <f t="shared" si="4"/>
        <v>45474</v>
      </c>
      <c r="O63" s="49">
        <f t="shared" ca="1" si="5"/>
        <v>46317.962422337965</v>
      </c>
    </row>
    <row r="64" spans="1:15" x14ac:dyDescent="0.25">
      <c r="A64" s="48" t="str">
        <f>[1]Dataset!A64</f>
        <v>CUST026</v>
      </c>
      <c r="B64" s="2" t="str">
        <f>[1]Dataset!B64</f>
        <v>Mary Davis</v>
      </c>
      <c r="C64" s="2" t="str">
        <f>[1]Dataset!C64</f>
        <v>East</v>
      </c>
      <c r="D64" s="2" t="str">
        <f>[1]Dataset!D64</f>
        <v>Furniture</v>
      </c>
      <c r="E64" s="3">
        <f>[1]Dataset!E64</f>
        <v>933.71</v>
      </c>
      <c r="F64" s="4">
        <f>[1]Dataset!F64</f>
        <v>17</v>
      </c>
      <c r="G64" s="5">
        <f>[1]Dataset!G64</f>
        <v>0.1</v>
      </c>
      <c r="H64" s="6">
        <f>[1]Dataset!H64</f>
        <v>45481</v>
      </c>
      <c r="I64" s="3">
        <f>[1]Dataset!I64</f>
        <v>294.12</v>
      </c>
      <c r="J64" s="3">
        <f t="shared" si="0"/>
        <v>93.371000000000009</v>
      </c>
      <c r="K64" s="3">
        <f t="shared" si="1"/>
        <v>840.33900000000006</v>
      </c>
      <c r="L64" s="7">
        <f t="shared" si="2"/>
        <v>0.31500144584506967</v>
      </c>
      <c r="M64" s="2" t="str">
        <f t="shared" si="3"/>
        <v>Profit</v>
      </c>
      <c r="N64" s="8">
        <f t="shared" si="4"/>
        <v>45474</v>
      </c>
      <c r="O64" s="49">
        <f t="shared" ca="1" si="5"/>
        <v>46317.962422337965</v>
      </c>
    </row>
    <row r="65" spans="1:15" x14ac:dyDescent="0.25">
      <c r="A65" s="48" t="str">
        <f>[1]Dataset!A65</f>
        <v>CUST003</v>
      </c>
      <c r="B65" s="2" t="str">
        <f>[1]Dataset!B65</f>
        <v>James Davis</v>
      </c>
      <c r="C65" s="2" t="str">
        <f>[1]Dataset!C65</f>
        <v>West</v>
      </c>
      <c r="D65" s="2" t="str">
        <f>[1]Dataset!D65</f>
        <v>Electronics</v>
      </c>
      <c r="E65" s="3">
        <f>[1]Dataset!E65</f>
        <v>1005.53</v>
      </c>
      <c r="F65" s="4">
        <f>[1]Dataset!F65</f>
        <v>17</v>
      </c>
      <c r="G65" s="5">
        <f>[1]Dataset!G65</f>
        <v>0.2</v>
      </c>
      <c r="H65" s="6">
        <f>[1]Dataset!H65</f>
        <v>45481</v>
      </c>
      <c r="I65" s="3">
        <f>[1]Dataset!I65</f>
        <v>201.11</v>
      </c>
      <c r="J65" s="3">
        <f t="shared" si="0"/>
        <v>201.10599999999999</v>
      </c>
      <c r="K65" s="3">
        <f t="shared" si="1"/>
        <v>804.42399999999998</v>
      </c>
      <c r="L65" s="7">
        <f t="shared" si="2"/>
        <v>0.2000039780016509</v>
      </c>
      <c r="M65" s="2" t="str">
        <f t="shared" si="3"/>
        <v>Profit</v>
      </c>
      <c r="N65" s="8">
        <f t="shared" si="4"/>
        <v>45474</v>
      </c>
      <c r="O65" s="49">
        <f t="shared" ca="1" si="5"/>
        <v>46317.962422337965</v>
      </c>
    </row>
    <row r="66" spans="1:15" x14ac:dyDescent="0.25">
      <c r="A66" s="48" t="str">
        <f>[1]Dataset!A66</f>
        <v>CUST029</v>
      </c>
      <c r="B66" s="2" t="str">
        <f>[1]Dataset!B66</f>
        <v>Emma Wilson</v>
      </c>
      <c r="C66" s="2" t="str">
        <f>[1]Dataset!C66</f>
        <v>South</v>
      </c>
      <c r="D66" s="2" t="str">
        <f>[1]Dataset!D66</f>
        <v>Electronics</v>
      </c>
      <c r="E66" s="3">
        <f>[1]Dataset!E66</f>
        <v>1100.0999999999999</v>
      </c>
      <c r="F66" s="4">
        <f>[1]Dataset!F66</f>
        <v>5</v>
      </c>
      <c r="G66" s="5">
        <f>[1]Dataset!G66</f>
        <v>0.05</v>
      </c>
      <c r="H66" s="6">
        <f>[1]Dataset!H66</f>
        <v>45482</v>
      </c>
      <c r="I66" s="3">
        <f>[1]Dataset!I66</f>
        <v>261.27</v>
      </c>
      <c r="J66" s="3">
        <f t="shared" ref="J66:J129" si="6">E66*G66</f>
        <v>55.004999999999995</v>
      </c>
      <c r="K66" s="3">
        <f t="shared" ref="K66:K129" si="7">E66-J66</f>
        <v>1045.0949999999998</v>
      </c>
      <c r="L66" s="7">
        <f t="shared" ref="L66:L129" si="8">IF(E66=0,0,I66/E66)</f>
        <v>0.23749659121898009</v>
      </c>
      <c r="M66" s="2" t="str">
        <f t="shared" ref="M66:M129" si="9">IF(I66&gt;0,"Profit",IF(I66=0,"Break-even","Loss"))</f>
        <v>Profit</v>
      </c>
      <c r="N66" s="8">
        <f t="shared" ref="N66:N129" si="10">DATE(YEAR(H66),MONTH(H66),1)</f>
        <v>45474</v>
      </c>
      <c r="O66" s="49">
        <f t="shared" ref="O66:O129" ca="1" si="11">NOW()</f>
        <v>46317.962422337965</v>
      </c>
    </row>
    <row r="67" spans="1:15" x14ac:dyDescent="0.25">
      <c r="A67" s="48" t="str">
        <f>[1]Dataset!A67</f>
        <v>CUST003</v>
      </c>
      <c r="B67" s="2" t="str">
        <f>[1]Dataset!B67</f>
        <v>James Wilson</v>
      </c>
      <c r="C67" s="2" t="str">
        <f>[1]Dataset!C67</f>
        <v>North</v>
      </c>
      <c r="D67" s="2" t="str">
        <f>[1]Dataset!D67</f>
        <v>Furniture</v>
      </c>
      <c r="E67" s="3">
        <f>[1]Dataset!E67</f>
        <v>1034.7</v>
      </c>
      <c r="F67" s="4">
        <f>[1]Dataset!F67</f>
        <v>15</v>
      </c>
      <c r="G67" s="5">
        <f>[1]Dataset!G67</f>
        <v>0.15</v>
      </c>
      <c r="H67" s="6">
        <f>[1]Dataset!H67</f>
        <v>45487</v>
      </c>
      <c r="I67" s="3">
        <f>[1]Dataset!I67</f>
        <v>307.82</v>
      </c>
      <c r="J67" s="3">
        <f t="shared" si="6"/>
        <v>155.20500000000001</v>
      </c>
      <c r="K67" s="3">
        <f t="shared" si="7"/>
        <v>879.495</v>
      </c>
      <c r="L67" s="7">
        <f t="shared" si="8"/>
        <v>0.29749685899294481</v>
      </c>
      <c r="M67" s="2" t="str">
        <f t="shared" si="9"/>
        <v>Profit</v>
      </c>
      <c r="N67" s="8">
        <f t="shared" si="10"/>
        <v>45474</v>
      </c>
      <c r="O67" s="49">
        <f t="shared" ca="1" si="11"/>
        <v>46317.962422337965</v>
      </c>
    </row>
    <row r="68" spans="1:15" x14ac:dyDescent="0.25">
      <c r="A68" s="48" t="str">
        <f>[1]Dataset!A68</f>
        <v>CUST002</v>
      </c>
      <c r="B68" s="2" t="str">
        <f>[1]Dataset!B68</f>
        <v>Mary Davis</v>
      </c>
      <c r="C68" s="2" t="str">
        <f>[1]Dataset!C68</f>
        <v>South</v>
      </c>
      <c r="D68" s="2" t="str">
        <f>[1]Dataset!D68</f>
        <v>Books</v>
      </c>
      <c r="E68" s="3">
        <f>[1]Dataset!E68</f>
        <v>876.44</v>
      </c>
      <c r="F68" s="4">
        <f>[1]Dataset!F68</f>
        <v>12</v>
      </c>
      <c r="G68" s="5">
        <f>[1]Dataset!G68</f>
        <v>0.05</v>
      </c>
      <c r="H68" s="6">
        <f>[1]Dataset!H68</f>
        <v>45488</v>
      </c>
      <c r="I68" s="3">
        <f>[1]Dataset!I68</f>
        <v>333.05</v>
      </c>
      <c r="J68" s="3">
        <f t="shared" si="6"/>
        <v>43.822000000000003</v>
      </c>
      <c r="K68" s="3">
        <f t="shared" si="7"/>
        <v>832.61800000000005</v>
      </c>
      <c r="L68" s="7">
        <f t="shared" si="8"/>
        <v>0.38000319474236682</v>
      </c>
      <c r="M68" s="2" t="str">
        <f t="shared" si="9"/>
        <v>Profit</v>
      </c>
      <c r="N68" s="8">
        <f t="shared" si="10"/>
        <v>45474</v>
      </c>
      <c r="O68" s="49">
        <f t="shared" ca="1" si="11"/>
        <v>46317.962422337965</v>
      </c>
    </row>
    <row r="69" spans="1:15" x14ac:dyDescent="0.25">
      <c r="A69" s="48" t="str">
        <f>[1]Dataset!A69</f>
        <v>CUST020</v>
      </c>
      <c r="B69" s="2" t="str">
        <f>[1]Dataset!B69</f>
        <v>David Brown</v>
      </c>
      <c r="C69" s="2" t="str">
        <f>[1]Dataset!C69</f>
        <v>West</v>
      </c>
      <c r="D69" s="2" t="str">
        <f>[1]Dataset!D69</f>
        <v>Furniture</v>
      </c>
      <c r="E69" s="3">
        <f>[1]Dataset!E69</f>
        <v>1371.34</v>
      </c>
      <c r="F69" s="4">
        <f>[1]Dataset!F69</f>
        <v>5</v>
      </c>
      <c r="G69" s="5">
        <f>[1]Dataset!G69</f>
        <v>0.05</v>
      </c>
      <c r="H69" s="6">
        <f>[1]Dataset!H69</f>
        <v>45488</v>
      </c>
      <c r="I69" s="3">
        <f>[1]Dataset!I69</f>
        <v>455.97</v>
      </c>
      <c r="J69" s="3">
        <f t="shared" si="6"/>
        <v>68.566999999999993</v>
      </c>
      <c r="K69" s="3">
        <f t="shared" si="7"/>
        <v>1302.7729999999999</v>
      </c>
      <c r="L69" s="7">
        <f t="shared" si="8"/>
        <v>0.33249959893243108</v>
      </c>
      <c r="M69" s="2" t="str">
        <f t="shared" si="9"/>
        <v>Profit</v>
      </c>
      <c r="N69" s="8">
        <f t="shared" si="10"/>
        <v>45474</v>
      </c>
      <c r="O69" s="49">
        <f t="shared" ca="1" si="11"/>
        <v>46317.962422337965</v>
      </c>
    </row>
    <row r="70" spans="1:15" x14ac:dyDescent="0.25">
      <c r="A70" s="48" t="str">
        <f>[1]Dataset!A70</f>
        <v>CUST021</v>
      </c>
      <c r="B70" s="2" t="str">
        <f>[1]Dataset!B70</f>
        <v>Mary Jackson</v>
      </c>
      <c r="C70" s="2" t="str">
        <f>[1]Dataset!C70</f>
        <v>North</v>
      </c>
      <c r="D70" s="2" t="str">
        <f>[1]Dataset!D70</f>
        <v>Electronics</v>
      </c>
      <c r="E70" s="3">
        <f>[1]Dataset!E70</f>
        <v>1020.26</v>
      </c>
      <c r="F70" s="4">
        <f>[1]Dataset!F70</f>
        <v>11</v>
      </c>
      <c r="G70" s="5">
        <f>[1]Dataset!G70</f>
        <v>0.05</v>
      </c>
      <c r="H70" s="6">
        <f>[1]Dataset!H70</f>
        <v>45494</v>
      </c>
      <c r="I70" s="3">
        <f>[1]Dataset!I70</f>
        <v>242.31</v>
      </c>
      <c r="J70" s="3">
        <f t="shared" si="6"/>
        <v>51.013000000000005</v>
      </c>
      <c r="K70" s="3">
        <f t="shared" si="7"/>
        <v>969.24699999999996</v>
      </c>
      <c r="L70" s="7">
        <f t="shared" si="8"/>
        <v>0.23749828475094584</v>
      </c>
      <c r="M70" s="2" t="str">
        <f t="shared" si="9"/>
        <v>Profit</v>
      </c>
      <c r="N70" s="8">
        <f t="shared" si="10"/>
        <v>45474</v>
      </c>
      <c r="O70" s="49">
        <f t="shared" ca="1" si="11"/>
        <v>46317.962422337965</v>
      </c>
    </row>
    <row r="71" spans="1:15" x14ac:dyDescent="0.25">
      <c r="A71" s="48" t="str">
        <f>[1]Dataset!A71</f>
        <v>CUST008</v>
      </c>
      <c r="B71" s="2" t="str">
        <f>[1]Dataset!B71</f>
        <v>James Davis</v>
      </c>
      <c r="C71" s="2" t="str">
        <f>[1]Dataset!C71</f>
        <v>Central</v>
      </c>
      <c r="D71" s="2" t="str">
        <f>[1]Dataset!D71</f>
        <v>Office Supplies</v>
      </c>
      <c r="E71" s="3">
        <f>[1]Dataset!E71</f>
        <v>804.81</v>
      </c>
      <c r="F71" s="4">
        <f>[1]Dataset!F71</f>
        <v>1</v>
      </c>
      <c r="G71" s="5">
        <f>[1]Dataset!G71</f>
        <v>0.05</v>
      </c>
      <c r="H71" s="6">
        <f>[1]Dataset!H71</f>
        <v>45502</v>
      </c>
      <c r="I71" s="3">
        <f>[1]Dataset!I71</f>
        <v>344.06</v>
      </c>
      <c r="J71" s="3">
        <f t="shared" si="6"/>
        <v>40.240499999999997</v>
      </c>
      <c r="K71" s="3">
        <f t="shared" si="7"/>
        <v>764.56949999999995</v>
      </c>
      <c r="L71" s="7">
        <f t="shared" si="8"/>
        <v>0.42750462842161507</v>
      </c>
      <c r="M71" s="2" t="str">
        <f t="shared" si="9"/>
        <v>Profit</v>
      </c>
      <c r="N71" s="8">
        <f t="shared" si="10"/>
        <v>45474</v>
      </c>
      <c r="O71" s="49">
        <f t="shared" ca="1" si="11"/>
        <v>46317.962422337965</v>
      </c>
    </row>
    <row r="72" spans="1:15" x14ac:dyDescent="0.25">
      <c r="A72" s="48" t="str">
        <f>[1]Dataset!A72</f>
        <v>CUST030</v>
      </c>
      <c r="B72" s="2" t="str">
        <f>[1]Dataset!B72</f>
        <v>David Brown</v>
      </c>
      <c r="C72" s="2" t="str">
        <f>[1]Dataset!C72</f>
        <v>Central</v>
      </c>
      <c r="D72" s="2" t="str">
        <f>[1]Dataset!D72</f>
        <v>Electronics</v>
      </c>
      <c r="E72" s="3">
        <f>[1]Dataset!E72</f>
        <v>608.66</v>
      </c>
      <c r="F72" s="4">
        <f>[1]Dataset!F72</f>
        <v>1</v>
      </c>
      <c r="G72" s="5">
        <f>[1]Dataset!G72</f>
        <v>0.05</v>
      </c>
      <c r="H72" s="6">
        <f>[1]Dataset!H72</f>
        <v>45503</v>
      </c>
      <c r="I72" s="3">
        <f>[1]Dataset!I72</f>
        <v>144.56</v>
      </c>
      <c r="J72" s="3">
        <f t="shared" si="6"/>
        <v>30.433</v>
      </c>
      <c r="K72" s="3">
        <f t="shared" si="7"/>
        <v>578.22699999999998</v>
      </c>
      <c r="L72" s="7">
        <f t="shared" si="8"/>
        <v>0.23750533959846221</v>
      </c>
      <c r="M72" s="2" t="str">
        <f t="shared" si="9"/>
        <v>Profit</v>
      </c>
      <c r="N72" s="8">
        <f t="shared" si="10"/>
        <v>45474</v>
      </c>
      <c r="O72" s="49">
        <f t="shared" ca="1" si="11"/>
        <v>46317.962422337965</v>
      </c>
    </row>
    <row r="73" spans="1:15" x14ac:dyDescent="0.25">
      <c r="A73" s="48" t="str">
        <f>[1]Dataset!A73</f>
        <v>CUST020</v>
      </c>
      <c r="B73" s="2" t="str">
        <f>[1]Dataset!B73</f>
        <v>Linda Moore</v>
      </c>
      <c r="C73" s="2" t="str">
        <f>[1]Dataset!C73</f>
        <v>South</v>
      </c>
      <c r="D73" s="2" t="str">
        <f>[1]Dataset!D73</f>
        <v>Office Supplies</v>
      </c>
      <c r="E73" s="3">
        <f>[1]Dataset!E73</f>
        <v>981.2</v>
      </c>
      <c r="F73" s="4">
        <f>[1]Dataset!F73</f>
        <v>19</v>
      </c>
      <c r="G73" s="5">
        <f>[1]Dataset!G73</f>
        <v>0</v>
      </c>
      <c r="H73" s="6">
        <f>[1]Dataset!H73</f>
        <v>45504</v>
      </c>
      <c r="I73" s="3">
        <f>[1]Dataset!I73</f>
        <v>441.54</v>
      </c>
      <c r="J73" s="3">
        <f t="shared" si="6"/>
        <v>0</v>
      </c>
      <c r="K73" s="3">
        <f t="shared" si="7"/>
        <v>981.2</v>
      </c>
      <c r="L73" s="7">
        <f t="shared" si="8"/>
        <v>0.45</v>
      </c>
      <c r="M73" s="2" t="str">
        <f t="shared" si="9"/>
        <v>Profit</v>
      </c>
      <c r="N73" s="8">
        <f t="shared" si="10"/>
        <v>45474</v>
      </c>
      <c r="O73" s="49">
        <f t="shared" ca="1" si="11"/>
        <v>46317.962422337965</v>
      </c>
    </row>
    <row r="74" spans="1:15" x14ac:dyDescent="0.25">
      <c r="A74" s="48" t="str">
        <f>[1]Dataset!A74</f>
        <v>CUST024</v>
      </c>
      <c r="B74" s="2" t="str">
        <f>[1]Dataset!B74</f>
        <v>David Brown</v>
      </c>
      <c r="C74" s="2" t="str">
        <f>[1]Dataset!C74</f>
        <v>East</v>
      </c>
      <c r="D74" s="2" t="str">
        <f>[1]Dataset!D74</f>
        <v>Electronics</v>
      </c>
      <c r="E74" s="3">
        <f>[1]Dataset!E74</f>
        <v>539.77</v>
      </c>
      <c r="F74" s="4">
        <f>[1]Dataset!F74</f>
        <v>10</v>
      </c>
      <c r="G74" s="5">
        <f>[1]Dataset!G74</f>
        <v>0.15</v>
      </c>
      <c r="H74" s="6">
        <f>[1]Dataset!H74</f>
        <v>45509</v>
      </c>
      <c r="I74" s="3">
        <f>[1]Dataset!I74</f>
        <v>114.7</v>
      </c>
      <c r="J74" s="3">
        <f t="shared" si="6"/>
        <v>80.965499999999992</v>
      </c>
      <c r="K74" s="3">
        <f t="shared" si="7"/>
        <v>458.80449999999996</v>
      </c>
      <c r="L74" s="7">
        <f t="shared" si="8"/>
        <v>0.21249791577894289</v>
      </c>
      <c r="M74" s="2" t="str">
        <f t="shared" si="9"/>
        <v>Profit</v>
      </c>
      <c r="N74" s="8">
        <f t="shared" si="10"/>
        <v>45505</v>
      </c>
      <c r="O74" s="49">
        <f t="shared" ca="1" si="11"/>
        <v>46317.962422337965</v>
      </c>
    </row>
    <row r="75" spans="1:15" x14ac:dyDescent="0.25">
      <c r="A75" s="48" t="str">
        <f>[1]Dataset!A75</f>
        <v>CUST012</v>
      </c>
      <c r="B75" s="2" t="str">
        <f>[1]Dataset!B75</f>
        <v>David Anderson</v>
      </c>
      <c r="C75" s="2" t="str">
        <f>[1]Dataset!C75</f>
        <v>South</v>
      </c>
      <c r="D75" s="2" t="str">
        <f>[1]Dataset!D75</f>
        <v>Books</v>
      </c>
      <c r="E75" s="3">
        <f>[1]Dataset!E75</f>
        <v>804.45</v>
      </c>
      <c r="F75" s="4">
        <f>[1]Dataset!F75</f>
        <v>5</v>
      </c>
      <c r="G75" s="5">
        <f>[1]Dataset!G75</f>
        <v>0.2</v>
      </c>
      <c r="H75" s="6">
        <f>[1]Dataset!H75</f>
        <v>45509</v>
      </c>
      <c r="I75" s="3">
        <f>[1]Dataset!I75</f>
        <v>257.42</v>
      </c>
      <c r="J75" s="3">
        <f t="shared" si="6"/>
        <v>160.89000000000001</v>
      </c>
      <c r="K75" s="3">
        <f t="shared" si="7"/>
        <v>643.56000000000006</v>
      </c>
      <c r="L75" s="7">
        <f t="shared" si="8"/>
        <v>0.31999502765864879</v>
      </c>
      <c r="M75" s="2" t="str">
        <f t="shared" si="9"/>
        <v>Profit</v>
      </c>
      <c r="N75" s="8">
        <f t="shared" si="10"/>
        <v>45505</v>
      </c>
      <c r="O75" s="49">
        <f t="shared" ca="1" si="11"/>
        <v>46317.962422337965</v>
      </c>
    </row>
    <row r="76" spans="1:15" x14ac:dyDescent="0.25">
      <c r="A76" s="48" t="str">
        <f>[1]Dataset!A76</f>
        <v>CUST024</v>
      </c>
      <c r="B76" s="2" t="str">
        <f>[1]Dataset!B76</f>
        <v>Emma Davis</v>
      </c>
      <c r="C76" s="2" t="str">
        <f>[1]Dataset!C76</f>
        <v>West</v>
      </c>
      <c r="D76" s="2" t="str">
        <f>[1]Dataset!D76</f>
        <v>Electronics</v>
      </c>
      <c r="E76" s="3">
        <f>[1]Dataset!E76</f>
        <v>1526.6</v>
      </c>
      <c r="F76" s="4">
        <f>[1]Dataset!F76</f>
        <v>13</v>
      </c>
      <c r="G76" s="5">
        <f>[1]Dataset!G76</f>
        <v>0.2</v>
      </c>
      <c r="H76" s="6">
        <f>[1]Dataset!H76</f>
        <v>45512</v>
      </c>
      <c r="I76" s="3">
        <f>[1]Dataset!I76</f>
        <v>305.32</v>
      </c>
      <c r="J76" s="3">
        <f t="shared" si="6"/>
        <v>305.32</v>
      </c>
      <c r="K76" s="3">
        <f t="shared" si="7"/>
        <v>1221.28</v>
      </c>
      <c r="L76" s="7">
        <f t="shared" si="8"/>
        <v>0.2</v>
      </c>
      <c r="M76" s="2" t="str">
        <f t="shared" si="9"/>
        <v>Profit</v>
      </c>
      <c r="N76" s="8">
        <f t="shared" si="10"/>
        <v>45505</v>
      </c>
      <c r="O76" s="49">
        <f t="shared" ca="1" si="11"/>
        <v>46317.962422337965</v>
      </c>
    </row>
    <row r="77" spans="1:15" x14ac:dyDescent="0.25">
      <c r="A77" s="48" t="str">
        <f>[1]Dataset!A77</f>
        <v>CUST012</v>
      </c>
      <c r="B77" s="2" t="str">
        <f>[1]Dataset!B77</f>
        <v>Linda Wilson</v>
      </c>
      <c r="C77" s="2" t="str">
        <f>[1]Dataset!C77</f>
        <v>West</v>
      </c>
      <c r="D77" s="2" t="str">
        <f>[1]Dataset!D77</f>
        <v>Electronics</v>
      </c>
      <c r="E77" s="3">
        <f>[1]Dataset!E77</f>
        <v>1215.26</v>
      </c>
      <c r="F77" s="4">
        <f>[1]Dataset!F77</f>
        <v>5</v>
      </c>
      <c r="G77" s="5">
        <f>[1]Dataset!G77</f>
        <v>0.15</v>
      </c>
      <c r="H77" s="6">
        <f>[1]Dataset!H77</f>
        <v>45513</v>
      </c>
      <c r="I77" s="3">
        <f>[1]Dataset!I77</f>
        <v>258.24</v>
      </c>
      <c r="J77" s="3">
        <f t="shared" si="6"/>
        <v>182.28899999999999</v>
      </c>
      <c r="K77" s="3">
        <f t="shared" si="7"/>
        <v>1032.971</v>
      </c>
      <c r="L77" s="7">
        <f t="shared" si="8"/>
        <v>0.21249773710975431</v>
      </c>
      <c r="M77" s="2" t="str">
        <f t="shared" si="9"/>
        <v>Profit</v>
      </c>
      <c r="N77" s="8">
        <f t="shared" si="10"/>
        <v>45505</v>
      </c>
      <c r="O77" s="49">
        <f t="shared" ca="1" si="11"/>
        <v>46317.962422337965</v>
      </c>
    </row>
    <row r="78" spans="1:15" x14ac:dyDescent="0.25">
      <c r="A78" s="48" t="str">
        <f>[1]Dataset!A78</f>
        <v>CUST005</v>
      </c>
      <c r="B78" s="2" t="str">
        <f>[1]Dataset!B78</f>
        <v>Linda Taylor</v>
      </c>
      <c r="C78" s="2" t="str">
        <f>[1]Dataset!C78</f>
        <v>Central</v>
      </c>
      <c r="D78" s="2" t="str">
        <f>[1]Dataset!D78</f>
        <v>Furniture</v>
      </c>
      <c r="E78" s="3">
        <f>[1]Dataset!E78</f>
        <v>1261.3399999999999</v>
      </c>
      <c r="F78" s="4">
        <f>[1]Dataset!F78</f>
        <v>3</v>
      </c>
      <c r="G78" s="5">
        <f>[1]Dataset!G78</f>
        <v>0</v>
      </c>
      <c r="H78" s="6">
        <f>[1]Dataset!H78</f>
        <v>45519</v>
      </c>
      <c r="I78" s="3">
        <f>[1]Dataset!I78</f>
        <v>441.47</v>
      </c>
      <c r="J78" s="3">
        <f t="shared" si="6"/>
        <v>0</v>
      </c>
      <c r="K78" s="3">
        <f t="shared" si="7"/>
        <v>1261.3399999999999</v>
      </c>
      <c r="L78" s="7">
        <f t="shared" si="8"/>
        <v>0.35000079280764906</v>
      </c>
      <c r="M78" s="2" t="str">
        <f t="shared" si="9"/>
        <v>Profit</v>
      </c>
      <c r="N78" s="8">
        <f t="shared" si="10"/>
        <v>45505</v>
      </c>
      <c r="O78" s="49">
        <f t="shared" ca="1" si="11"/>
        <v>46317.962422337965</v>
      </c>
    </row>
    <row r="79" spans="1:15" x14ac:dyDescent="0.25">
      <c r="A79" s="48" t="str">
        <f>[1]Dataset!A79</f>
        <v>CUST004</v>
      </c>
      <c r="B79" s="2" t="str">
        <f>[1]Dataset!B79</f>
        <v>Lisa Thomas</v>
      </c>
      <c r="C79" s="2" t="str">
        <f>[1]Dataset!C79</f>
        <v>North</v>
      </c>
      <c r="D79" s="2" t="str">
        <f>[1]Dataset!D79</f>
        <v>Furniture</v>
      </c>
      <c r="E79" s="3">
        <f>[1]Dataset!E79</f>
        <v>518.07000000000005</v>
      </c>
      <c r="F79" s="4">
        <f>[1]Dataset!F79</f>
        <v>7</v>
      </c>
      <c r="G79" s="5">
        <f>[1]Dataset!G79</f>
        <v>0.05</v>
      </c>
      <c r="H79" s="6">
        <f>[1]Dataset!H79</f>
        <v>45522</v>
      </c>
      <c r="I79" s="3">
        <f>[1]Dataset!I79</f>
        <v>172.26</v>
      </c>
      <c r="J79" s="3">
        <f t="shared" si="6"/>
        <v>25.903500000000005</v>
      </c>
      <c r="K79" s="3">
        <f t="shared" si="7"/>
        <v>492.16650000000004</v>
      </c>
      <c r="L79" s="7">
        <f t="shared" si="8"/>
        <v>0.3325033296658752</v>
      </c>
      <c r="M79" s="2" t="str">
        <f t="shared" si="9"/>
        <v>Profit</v>
      </c>
      <c r="N79" s="8">
        <f t="shared" si="10"/>
        <v>45505</v>
      </c>
      <c r="O79" s="49">
        <f t="shared" ca="1" si="11"/>
        <v>46317.962422337965</v>
      </c>
    </row>
    <row r="80" spans="1:15" x14ac:dyDescent="0.25">
      <c r="A80" s="48" t="str">
        <f>[1]Dataset!A80</f>
        <v>CUST026</v>
      </c>
      <c r="B80" s="2" t="str">
        <f>[1]Dataset!B80</f>
        <v>Linda Wilson</v>
      </c>
      <c r="C80" s="2" t="str">
        <f>[1]Dataset!C80</f>
        <v>West</v>
      </c>
      <c r="D80" s="2" t="str">
        <f>[1]Dataset!D80</f>
        <v>Office Supplies</v>
      </c>
      <c r="E80" s="3">
        <f>[1]Dataset!E80</f>
        <v>1111.3399999999999</v>
      </c>
      <c r="F80" s="4">
        <f>[1]Dataset!F80</f>
        <v>1</v>
      </c>
      <c r="G80" s="5">
        <f>[1]Dataset!G80</f>
        <v>0</v>
      </c>
      <c r="H80" s="6">
        <f>[1]Dataset!H80</f>
        <v>45523</v>
      </c>
      <c r="I80" s="3">
        <f>[1]Dataset!I80</f>
        <v>500.1</v>
      </c>
      <c r="J80" s="3">
        <f t="shared" si="6"/>
        <v>0</v>
      </c>
      <c r="K80" s="3">
        <f t="shared" si="7"/>
        <v>1111.3399999999999</v>
      </c>
      <c r="L80" s="7">
        <f t="shared" si="8"/>
        <v>0.4499973005560855</v>
      </c>
      <c r="M80" s="2" t="str">
        <f t="shared" si="9"/>
        <v>Profit</v>
      </c>
      <c r="N80" s="8">
        <f t="shared" si="10"/>
        <v>45505</v>
      </c>
      <c r="O80" s="49">
        <f t="shared" ca="1" si="11"/>
        <v>46317.962422337965</v>
      </c>
    </row>
    <row r="81" spans="1:15" x14ac:dyDescent="0.25">
      <c r="A81" s="48" t="str">
        <f>[1]Dataset!A81</f>
        <v>CUST030</v>
      </c>
      <c r="B81" s="2" t="str">
        <f>[1]Dataset!B81</f>
        <v>Mary Davis</v>
      </c>
      <c r="C81" s="2" t="str">
        <f>[1]Dataset!C81</f>
        <v>East</v>
      </c>
      <c r="D81" s="2" t="str">
        <f>[1]Dataset!D81</f>
        <v>Clothing</v>
      </c>
      <c r="E81" s="3">
        <f>[1]Dataset!E81</f>
        <v>1291.47</v>
      </c>
      <c r="F81" s="4">
        <f>[1]Dataset!F81</f>
        <v>18</v>
      </c>
      <c r="G81" s="5">
        <f>[1]Dataset!G81</f>
        <v>0.1</v>
      </c>
      <c r="H81" s="6">
        <f>[1]Dataset!H81</f>
        <v>45526</v>
      </c>
      <c r="I81" s="3">
        <f>[1]Dataset!I81</f>
        <v>581.16</v>
      </c>
      <c r="J81" s="3">
        <f t="shared" si="6"/>
        <v>129.14700000000002</v>
      </c>
      <c r="K81" s="3">
        <f t="shared" si="7"/>
        <v>1162.3230000000001</v>
      </c>
      <c r="L81" s="7">
        <f t="shared" si="8"/>
        <v>0.44999883853283462</v>
      </c>
      <c r="M81" s="2" t="str">
        <f t="shared" si="9"/>
        <v>Profit</v>
      </c>
      <c r="N81" s="8">
        <f t="shared" si="10"/>
        <v>45505</v>
      </c>
      <c r="O81" s="49">
        <f t="shared" ca="1" si="11"/>
        <v>46317.962422337965</v>
      </c>
    </row>
    <row r="82" spans="1:15" x14ac:dyDescent="0.25">
      <c r="A82" s="48" t="str">
        <f>[1]Dataset!A82</f>
        <v>CUST007</v>
      </c>
      <c r="B82" s="2" t="str">
        <f>[1]Dataset!B82</f>
        <v>David Brown</v>
      </c>
      <c r="C82" s="2" t="str">
        <f>[1]Dataset!C82</f>
        <v>North</v>
      </c>
      <c r="D82" s="2" t="str">
        <f>[1]Dataset!D82</f>
        <v>Books</v>
      </c>
      <c r="E82" s="3">
        <f>[1]Dataset!E82</f>
        <v>679.71</v>
      </c>
      <c r="F82" s="4">
        <f>[1]Dataset!F82</f>
        <v>19</v>
      </c>
      <c r="G82" s="5">
        <f>[1]Dataset!G82</f>
        <v>0</v>
      </c>
      <c r="H82" s="6">
        <f>[1]Dataset!H82</f>
        <v>45534</v>
      </c>
      <c r="I82" s="3">
        <f>[1]Dataset!I82</f>
        <v>271.88</v>
      </c>
      <c r="J82" s="3">
        <f t="shared" si="6"/>
        <v>0</v>
      </c>
      <c r="K82" s="3">
        <f t="shared" si="7"/>
        <v>679.71</v>
      </c>
      <c r="L82" s="7">
        <f t="shared" si="8"/>
        <v>0.39999411513733796</v>
      </c>
      <c r="M82" s="2" t="str">
        <f t="shared" si="9"/>
        <v>Profit</v>
      </c>
      <c r="N82" s="8">
        <f t="shared" si="10"/>
        <v>45505</v>
      </c>
      <c r="O82" s="49">
        <f t="shared" ca="1" si="11"/>
        <v>46317.962422337965</v>
      </c>
    </row>
    <row r="83" spans="1:15" x14ac:dyDescent="0.25">
      <c r="A83" s="48" t="str">
        <f>[1]Dataset!A83</f>
        <v>CUST020</v>
      </c>
      <c r="B83" s="2" t="str">
        <f>[1]Dataset!B83</f>
        <v>Linda Jackson</v>
      </c>
      <c r="C83" s="2" t="str">
        <f>[1]Dataset!C83</f>
        <v>East</v>
      </c>
      <c r="D83" s="2" t="str">
        <f>[1]Dataset!D83</f>
        <v>Furniture</v>
      </c>
      <c r="E83" s="3">
        <f>[1]Dataset!E83</f>
        <v>1143.69</v>
      </c>
      <c r="F83" s="4">
        <f>[1]Dataset!F83</f>
        <v>17</v>
      </c>
      <c r="G83" s="5">
        <f>[1]Dataset!G83</f>
        <v>0</v>
      </c>
      <c r="H83" s="6">
        <f>[1]Dataset!H83</f>
        <v>45534</v>
      </c>
      <c r="I83" s="3">
        <f>[1]Dataset!I83</f>
        <v>400.29</v>
      </c>
      <c r="J83" s="3">
        <f t="shared" si="6"/>
        <v>0</v>
      </c>
      <c r="K83" s="3">
        <f t="shared" si="7"/>
        <v>1143.69</v>
      </c>
      <c r="L83" s="7">
        <f t="shared" si="8"/>
        <v>0.34999868845578785</v>
      </c>
      <c r="M83" s="2" t="str">
        <f t="shared" si="9"/>
        <v>Profit</v>
      </c>
      <c r="N83" s="8">
        <f t="shared" si="10"/>
        <v>45505</v>
      </c>
      <c r="O83" s="49">
        <f t="shared" ca="1" si="11"/>
        <v>46317.962422337965</v>
      </c>
    </row>
    <row r="84" spans="1:15" x14ac:dyDescent="0.25">
      <c r="A84" s="48" t="str">
        <f>[1]Dataset!A84</f>
        <v>CUST028</v>
      </c>
      <c r="B84" s="2" t="str">
        <f>[1]Dataset!B84</f>
        <v>Linda Brown</v>
      </c>
      <c r="C84" s="2" t="str">
        <f>[1]Dataset!C84</f>
        <v>Central</v>
      </c>
      <c r="D84" s="2" t="str">
        <f>[1]Dataset!D84</f>
        <v>Electronics</v>
      </c>
      <c r="E84" s="3">
        <f>[1]Dataset!E84</f>
        <v>790.08</v>
      </c>
      <c r="F84" s="4">
        <f>[1]Dataset!F84</f>
        <v>7</v>
      </c>
      <c r="G84" s="5">
        <f>[1]Dataset!G84</f>
        <v>0.1</v>
      </c>
      <c r="H84" s="6">
        <f>[1]Dataset!H84</f>
        <v>45536</v>
      </c>
      <c r="I84" s="3">
        <f>[1]Dataset!I84</f>
        <v>177.77</v>
      </c>
      <c r="J84" s="3">
        <f t="shared" si="6"/>
        <v>79.00800000000001</v>
      </c>
      <c r="K84" s="3">
        <f t="shared" si="7"/>
        <v>711.072</v>
      </c>
      <c r="L84" s="7">
        <f t="shared" si="8"/>
        <v>0.22500253138922641</v>
      </c>
      <c r="M84" s="2" t="str">
        <f t="shared" si="9"/>
        <v>Profit</v>
      </c>
      <c r="N84" s="8">
        <f t="shared" si="10"/>
        <v>45536</v>
      </c>
      <c r="O84" s="49">
        <f t="shared" ca="1" si="11"/>
        <v>46317.962422337965</v>
      </c>
    </row>
    <row r="85" spans="1:15" x14ac:dyDescent="0.25">
      <c r="A85" s="48" t="str">
        <f>[1]Dataset!A85</f>
        <v>CUST005</v>
      </c>
      <c r="B85" s="2" t="str">
        <f>[1]Dataset!B85</f>
        <v>Lisa Davis</v>
      </c>
      <c r="C85" s="2" t="str">
        <f>[1]Dataset!C85</f>
        <v>Central</v>
      </c>
      <c r="D85" s="2" t="str">
        <f>[1]Dataset!D85</f>
        <v>Books</v>
      </c>
      <c r="E85" s="3">
        <f>[1]Dataset!E85</f>
        <v>1070.68</v>
      </c>
      <c r="F85" s="4">
        <f>[1]Dataset!F85</f>
        <v>7</v>
      </c>
      <c r="G85" s="5">
        <f>[1]Dataset!G85</f>
        <v>0.05</v>
      </c>
      <c r="H85" s="6">
        <f>[1]Dataset!H85</f>
        <v>45536</v>
      </c>
      <c r="I85" s="3">
        <f>[1]Dataset!I85</f>
        <v>406.86</v>
      </c>
      <c r="J85" s="3">
        <f t="shared" si="6"/>
        <v>53.534000000000006</v>
      </c>
      <c r="K85" s="3">
        <f t="shared" si="7"/>
        <v>1017.1460000000001</v>
      </c>
      <c r="L85" s="7">
        <f t="shared" si="8"/>
        <v>0.38000149437740499</v>
      </c>
      <c r="M85" s="2" t="str">
        <f t="shared" si="9"/>
        <v>Profit</v>
      </c>
      <c r="N85" s="8">
        <f t="shared" si="10"/>
        <v>45536</v>
      </c>
      <c r="O85" s="49">
        <f t="shared" ca="1" si="11"/>
        <v>46317.962422337965</v>
      </c>
    </row>
    <row r="86" spans="1:15" x14ac:dyDescent="0.25">
      <c r="A86" s="48" t="str">
        <f>[1]Dataset!A86</f>
        <v>CUST015</v>
      </c>
      <c r="B86" s="2" t="str">
        <f>[1]Dataset!B86</f>
        <v>David Thomas</v>
      </c>
      <c r="C86" s="2" t="str">
        <f>[1]Dataset!C86</f>
        <v>West</v>
      </c>
      <c r="D86" s="2" t="str">
        <f>[1]Dataset!D86</f>
        <v>Clothing</v>
      </c>
      <c r="E86" s="3">
        <f>[1]Dataset!E86</f>
        <v>1168.8900000000001</v>
      </c>
      <c r="F86" s="4">
        <f>[1]Dataset!F86</f>
        <v>4</v>
      </c>
      <c r="G86" s="5">
        <f>[1]Dataset!G86</f>
        <v>0.1</v>
      </c>
      <c r="H86" s="6">
        <f>[1]Dataset!H86</f>
        <v>45544</v>
      </c>
      <c r="I86" s="3">
        <f>[1]Dataset!I86</f>
        <v>526</v>
      </c>
      <c r="J86" s="3">
        <f t="shared" si="6"/>
        <v>116.88900000000001</v>
      </c>
      <c r="K86" s="3">
        <f t="shared" si="7"/>
        <v>1052.0010000000002</v>
      </c>
      <c r="L86" s="7">
        <f t="shared" si="8"/>
        <v>0.44999957224375259</v>
      </c>
      <c r="M86" s="2" t="str">
        <f t="shared" si="9"/>
        <v>Profit</v>
      </c>
      <c r="N86" s="8">
        <f t="shared" si="10"/>
        <v>45536</v>
      </c>
      <c r="O86" s="49">
        <f t="shared" ca="1" si="11"/>
        <v>46317.962422337965</v>
      </c>
    </row>
    <row r="87" spans="1:15" x14ac:dyDescent="0.25">
      <c r="A87" s="48" t="str">
        <f>[1]Dataset!A87</f>
        <v>CUST003</v>
      </c>
      <c r="B87" s="2" t="str">
        <f>[1]Dataset!B87</f>
        <v>James Davis</v>
      </c>
      <c r="C87" s="2" t="str">
        <f>[1]Dataset!C87</f>
        <v>South</v>
      </c>
      <c r="D87" s="2" t="str">
        <f>[1]Dataset!D87</f>
        <v>Electronics</v>
      </c>
      <c r="E87" s="3">
        <f>[1]Dataset!E87</f>
        <v>1335.87</v>
      </c>
      <c r="F87" s="4">
        <f>[1]Dataset!F87</f>
        <v>17</v>
      </c>
      <c r="G87" s="5">
        <f>[1]Dataset!G87</f>
        <v>0</v>
      </c>
      <c r="H87" s="6">
        <f>[1]Dataset!H87</f>
        <v>45544</v>
      </c>
      <c r="I87" s="3">
        <f>[1]Dataset!I87</f>
        <v>333.97</v>
      </c>
      <c r="J87" s="3">
        <f t="shared" si="6"/>
        <v>0</v>
      </c>
      <c r="K87" s="3">
        <f t="shared" si="7"/>
        <v>1335.87</v>
      </c>
      <c r="L87" s="7">
        <f t="shared" si="8"/>
        <v>0.25000187143958624</v>
      </c>
      <c r="M87" s="2" t="str">
        <f t="shared" si="9"/>
        <v>Profit</v>
      </c>
      <c r="N87" s="8">
        <f t="shared" si="10"/>
        <v>45536</v>
      </c>
      <c r="O87" s="49">
        <f t="shared" ca="1" si="11"/>
        <v>46317.962422337965</v>
      </c>
    </row>
    <row r="88" spans="1:15" x14ac:dyDescent="0.25">
      <c r="A88" s="48" t="str">
        <f>[1]Dataset!A88</f>
        <v>CUST023</v>
      </c>
      <c r="B88" s="2" t="str">
        <f>[1]Dataset!B88</f>
        <v>David Brown</v>
      </c>
      <c r="C88" s="2" t="str">
        <f>[1]Dataset!C88</f>
        <v>East</v>
      </c>
      <c r="D88" s="2" t="str">
        <f>[1]Dataset!D88</f>
        <v>Furniture</v>
      </c>
      <c r="E88" s="3">
        <f>[1]Dataset!E88</f>
        <v>873.7</v>
      </c>
      <c r="F88" s="4">
        <f>[1]Dataset!F88</f>
        <v>9</v>
      </c>
      <c r="G88" s="5">
        <f>[1]Dataset!G88</f>
        <v>0</v>
      </c>
      <c r="H88" s="6">
        <f>[1]Dataset!H88</f>
        <v>45546</v>
      </c>
      <c r="I88" s="3">
        <f>[1]Dataset!I88</f>
        <v>305.8</v>
      </c>
      <c r="J88" s="3">
        <f t="shared" si="6"/>
        <v>0</v>
      </c>
      <c r="K88" s="3">
        <f t="shared" si="7"/>
        <v>873.7</v>
      </c>
      <c r="L88" s="7">
        <f t="shared" si="8"/>
        <v>0.3500057227881424</v>
      </c>
      <c r="M88" s="2" t="str">
        <f t="shared" si="9"/>
        <v>Profit</v>
      </c>
      <c r="N88" s="8">
        <f t="shared" si="10"/>
        <v>45536</v>
      </c>
      <c r="O88" s="49">
        <f t="shared" ca="1" si="11"/>
        <v>46317.962422337965</v>
      </c>
    </row>
    <row r="89" spans="1:15" x14ac:dyDescent="0.25">
      <c r="A89" s="48" t="str">
        <f>[1]Dataset!A89</f>
        <v>CUST004</v>
      </c>
      <c r="B89" s="2" t="str">
        <f>[1]Dataset!B89</f>
        <v>Sarah Davis</v>
      </c>
      <c r="C89" s="2" t="str">
        <f>[1]Dataset!C89</f>
        <v>West</v>
      </c>
      <c r="D89" s="2" t="str">
        <f>[1]Dataset!D89</f>
        <v>Office Supplies</v>
      </c>
      <c r="E89" s="3">
        <f>[1]Dataset!E89</f>
        <v>1443.98</v>
      </c>
      <c r="F89" s="4">
        <f>[1]Dataset!F89</f>
        <v>19</v>
      </c>
      <c r="G89" s="5">
        <f>[1]Dataset!G89</f>
        <v>0</v>
      </c>
      <c r="H89" s="6">
        <f>[1]Dataset!H89</f>
        <v>45547</v>
      </c>
      <c r="I89" s="3">
        <f>[1]Dataset!I89</f>
        <v>649.79</v>
      </c>
      <c r="J89" s="3">
        <f t="shared" si="6"/>
        <v>0</v>
      </c>
      <c r="K89" s="3">
        <f t="shared" si="7"/>
        <v>1443.98</v>
      </c>
      <c r="L89" s="7">
        <f t="shared" si="8"/>
        <v>0.44999930746963251</v>
      </c>
      <c r="M89" s="2" t="str">
        <f t="shared" si="9"/>
        <v>Profit</v>
      </c>
      <c r="N89" s="8">
        <f t="shared" si="10"/>
        <v>45536</v>
      </c>
      <c r="O89" s="49">
        <f t="shared" ca="1" si="11"/>
        <v>46317.962422337965</v>
      </c>
    </row>
    <row r="90" spans="1:15" x14ac:dyDescent="0.25">
      <c r="A90" s="48" t="str">
        <f>[1]Dataset!A90</f>
        <v>CUST023</v>
      </c>
      <c r="B90" s="2" t="str">
        <f>[1]Dataset!B90</f>
        <v>James Wilson</v>
      </c>
      <c r="C90" s="2" t="str">
        <f>[1]Dataset!C90</f>
        <v>East</v>
      </c>
      <c r="D90" s="2" t="str">
        <f>[1]Dataset!D90</f>
        <v>Office Supplies</v>
      </c>
      <c r="E90" s="3">
        <f>[1]Dataset!E90</f>
        <v>1154.33</v>
      </c>
      <c r="F90" s="4">
        <f>[1]Dataset!F90</f>
        <v>11</v>
      </c>
      <c r="G90" s="5">
        <f>[1]Dataset!G90</f>
        <v>0.15</v>
      </c>
      <c r="H90" s="6">
        <f>[1]Dataset!H90</f>
        <v>45549</v>
      </c>
      <c r="I90" s="3">
        <f>[1]Dataset!I90</f>
        <v>441.53</v>
      </c>
      <c r="J90" s="3">
        <f t="shared" si="6"/>
        <v>173.14949999999999</v>
      </c>
      <c r="K90" s="3">
        <f t="shared" si="7"/>
        <v>981.18049999999994</v>
      </c>
      <c r="L90" s="7">
        <f t="shared" si="8"/>
        <v>0.38249893877833896</v>
      </c>
      <c r="M90" s="2" t="str">
        <f t="shared" si="9"/>
        <v>Profit</v>
      </c>
      <c r="N90" s="8">
        <f t="shared" si="10"/>
        <v>45536</v>
      </c>
      <c r="O90" s="49">
        <f t="shared" ca="1" si="11"/>
        <v>46317.962422337965</v>
      </c>
    </row>
    <row r="91" spans="1:15" x14ac:dyDescent="0.25">
      <c r="A91" s="48" t="str">
        <f>[1]Dataset!A91</f>
        <v>CUST022</v>
      </c>
      <c r="B91" s="2" t="str">
        <f>[1]Dataset!B91</f>
        <v>Linda Brown</v>
      </c>
      <c r="C91" s="2" t="str">
        <f>[1]Dataset!C91</f>
        <v>South</v>
      </c>
      <c r="D91" s="2" t="str">
        <f>[1]Dataset!D91</f>
        <v>Books</v>
      </c>
      <c r="E91" s="3">
        <f>[1]Dataset!E91</f>
        <v>1264.49</v>
      </c>
      <c r="F91" s="4">
        <f>[1]Dataset!F91</f>
        <v>16</v>
      </c>
      <c r="G91" s="5">
        <f>[1]Dataset!G91</f>
        <v>0.05</v>
      </c>
      <c r="H91" s="6">
        <f>[1]Dataset!H91</f>
        <v>45549</v>
      </c>
      <c r="I91" s="3">
        <f>[1]Dataset!I91</f>
        <v>480.51</v>
      </c>
      <c r="J91" s="3">
        <f t="shared" si="6"/>
        <v>63.224500000000006</v>
      </c>
      <c r="K91" s="3">
        <f t="shared" si="7"/>
        <v>1201.2655</v>
      </c>
      <c r="L91" s="7">
        <f t="shared" si="8"/>
        <v>0.38000300516413732</v>
      </c>
      <c r="M91" s="2" t="str">
        <f t="shared" si="9"/>
        <v>Profit</v>
      </c>
      <c r="N91" s="8">
        <f t="shared" si="10"/>
        <v>45536</v>
      </c>
      <c r="O91" s="49">
        <f t="shared" ca="1" si="11"/>
        <v>46317.962422337965</v>
      </c>
    </row>
    <row r="92" spans="1:15" x14ac:dyDescent="0.25">
      <c r="A92" s="48" t="str">
        <f>[1]Dataset!A92</f>
        <v>CUST007</v>
      </c>
      <c r="B92" s="2" t="str">
        <f>[1]Dataset!B92</f>
        <v>Emma Taylor</v>
      </c>
      <c r="C92" s="2" t="str">
        <f>[1]Dataset!C92</f>
        <v>West</v>
      </c>
      <c r="D92" s="2" t="str">
        <f>[1]Dataset!D92</f>
        <v>Furniture</v>
      </c>
      <c r="E92" s="3">
        <f>[1]Dataset!E92</f>
        <v>1101.55</v>
      </c>
      <c r="F92" s="4">
        <f>[1]Dataset!F92</f>
        <v>4</v>
      </c>
      <c r="G92" s="5">
        <f>[1]Dataset!G92</f>
        <v>0.1</v>
      </c>
      <c r="H92" s="6">
        <f>[1]Dataset!H92</f>
        <v>45551</v>
      </c>
      <c r="I92" s="3">
        <f>[1]Dataset!I92</f>
        <v>346.99</v>
      </c>
      <c r="J92" s="3">
        <f t="shared" si="6"/>
        <v>110.155</v>
      </c>
      <c r="K92" s="3">
        <f t="shared" si="7"/>
        <v>991.39499999999998</v>
      </c>
      <c r="L92" s="7">
        <f t="shared" si="8"/>
        <v>0.31500158867050976</v>
      </c>
      <c r="M92" s="2" t="str">
        <f t="shared" si="9"/>
        <v>Profit</v>
      </c>
      <c r="N92" s="8">
        <f t="shared" si="10"/>
        <v>45536</v>
      </c>
      <c r="O92" s="49">
        <f t="shared" ca="1" si="11"/>
        <v>46317.962422337965</v>
      </c>
    </row>
    <row r="93" spans="1:15" x14ac:dyDescent="0.25">
      <c r="A93" s="48" t="str">
        <f>[1]Dataset!A93</f>
        <v>CUST013</v>
      </c>
      <c r="B93" s="2" t="str">
        <f>[1]Dataset!B93</f>
        <v>Robert Anderson</v>
      </c>
      <c r="C93" s="2" t="str">
        <f>[1]Dataset!C93</f>
        <v>South</v>
      </c>
      <c r="D93" s="2" t="str">
        <f>[1]Dataset!D93</f>
        <v>Furniture</v>
      </c>
      <c r="E93" s="3">
        <f>[1]Dataset!E93</f>
        <v>727.73</v>
      </c>
      <c r="F93" s="4">
        <f>[1]Dataset!F93</f>
        <v>1</v>
      </c>
      <c r="G93" s="5">
        <f>[1]Dataset!G93</f>
        <v>0.1</v>
      </c>
      <c r="H93" s="6">
        <f>[1]Dataset!H93</f>
        <v>45552</v>
      </c>
      <c r="I93" s="3">
        <f>[1]Dataset!I93</f>
        <v>229.23</v>
      </c>
      <c r="J93" s="3">
        <f t="shared" si="6"/>
        <v>72.77300000000001</v>
      </c>
      <c r="K93" s="3">
        <f t="shared" si="7"/>
        <v>654.95699999999999</v>
      </c>
      <c r="L93" s="7">
        <f t="shared" si="8"/>
        <v>0.31499319802674064</v>
      </c>
      <c r="M93" s="2" t="str">
        <f t="shared" si="9"/>
        <v>Profit</v>
      </c>
      <c r="N93" s="8">
        <f t="shared" si="10"/>
        <v>45536</v>
      </c>
      <c r="O93" s="49">
        <f t="shared" ca="1" si="11"/>
        <v>46317.962422337965</v>
      </c>
    </row>
    <row r="94" spans="1:15" x14ac:dyDescent="0.25">
      <c r="A94" s="48" t="str">
        <f>[1]Dataset!A94</f>
        <v>CUST027</v>
      </c>
      <c r="B94" s="2" t="str">
        <f>[1]Dataset!B94</f>
        <v>Emma Davis</v>
      </c>
      <c r="C94" s="2" t="str">
        <f>[1]Dataset!C94</f>
        <v>East</v>
      </c>
      <c r="D94" s="2" t="str">
        <f>[1]Dataset!D94</f>
        <v>Office Supplies</v>
      </c>
      <c r="E94" s="3">
        <f>[1]Dataset!E94</f>
        <v>875.41</v>
      </c>
      <c r="F94" s="4">
        <f>[1]Dataset!F94</f>
        <v>13</v>
      </c>
      <c r="G94" s="5">
        <f>[1]Dataset!G94</f>
        <v>0.15</v>
      </c>
      <c r="H94" s="6">
        <f>[1]Dataset!H94</f>
        <v>45552</v>
      </c>
      <c r="I94" s="3">
        <f>[1]Dataset!I94</f>
        <v>334.84</v>
      </c>
      <c r="J94" s="3">
        <f t="shared" si="6"/>
        <v>131.3115</v>
      </c>
      <c r="K94" s="3">
        <f t="shared" si="7"/>
        <v>744.09849999999994</v>
      </c>
      <c r="L94" s="7">
        <f t="shared" si="8"/>
        <v>0.382495059457854</v>
      </c>
      <c r="M94" s="2" t="str">
        <f t="shared" si="9"/>
        <v>Profit</v>
      </c>
      <c r="N94" s="8">
        <f t="shared" si="10"/>
        <v>45536</v>
      </c>
      <c r="O94" s="49">
        <f t="shared" ca="1" si="11"/>
        <v>46317.962422337965</v>
      </c>
    </row>
    <row r="95" spans="1:15" x14ac:dyDescent="0.25">
      <c r="A95" s="48" t="str">
        <f>[1]Dataset!A95</f>
        <v>CUST003</v>
      </c>
      <c r="B95" s="2" t="str">
        <f>[1]Dataset!B95</f>
        <v>James Wilson</v>
      </c>
      <c r="C95" s="2" t="str">
        <f>[1]Dataset!C95</f>
        <v>West</v>
      </c>
      <c r="D95" s="2" t="str">
        <f>[1]Dataset!D95</f>
        <v>Electronics</v>
      </c>
      <c r="E95" s="3">
        <f>[1]Dataset!E95</f>
        <v>1158.94</v>
      </c>
      <c r="F95" s="4">
        <f>[1]Dataset!F95</f>
        <v>19</v>
      </c>
      <c r="G95" s="5">
        <f>[1]Dataset!G95</f>
        <v>0.2</v>
      </c>
      <c r="H95" s="6">
        <f>[1]Dataset!H95</f>
        <v>45553</v>
      </c>
      <c r="I95" s="3">
        <f>[1]Dataset!I95</f>
        <v>231.79</v>
      </c>
      <c r="J95" s="3">
        <f t="shared" si="6"/>
        <v>231.78800000000001</v>
      </c>
      <c r="K95" s="3">
        <f t="shared" si="7"/>
        <v>927.15200000000004</v>
      </c>
      <c r="L95" s="7">
        <f t="shared" si="8"/>
        <v>0.20000172571487737</v>
      </c>
      <c r="M95" s="2" t="str">
        <f t="shared" si="9"/>
        <v>Profit</v>
      </c>
      <c r="N95" s="8">
        <f t="shared" si="10"/>
        <v>45536</v>
      </c>
      <c r="O95" s="49">
        <f t="shared" ca="1" si="11"/>
        <v>46317.962422337965</v>
      </c>
    </row>
    <row r="96" spans="1:15" x14ac:dyDescent="0.25">
      <c r="A96" s="48" t="str">
        <f>[1]Dataset!A96</f>
        <v>CUST018</v>
      </c>
      <c r="B96" s="2" t="str">
        <f>[1]Dataset!B96</f>
        <v>Mary Jackson</v>
      </c>
      <c r="C96" s="2" t="str">
        <f>[1]Dataset!C96</f>
        <v>South</v>
      </c>
      <c r="D96" s="2" t="str">
        <f>[1]Dataset!D96</f>
        <v>Books</v>
      </c>
      <c r="E96" s="3">
        <f>[1]Dataset!E96</f>
        <v>966.3</v>
      </c>
      <c r="F96" s="4">
        <f>[1]Dataset!F96</f>
        <v>2</v>
      </c>
      <c r="G96" s="5">
        <f>[1]Dataset!G96</f>
        <v>0.15</v>
      </c>
      <c r="H96" s="6">
        <f>[1]Dataset!H96</f>
        <v>45557</v>
      </c>
      <c r="I96" s="3">
        <f>[1]Dataset!I96</f>
        <v>328.54</v>
      </c>
      <c r="J96" s="3">
        <f t="shared" si="6"/>
        <v>144.94499999999999</v>
      </c>
      <c r="K96" s="3">
        <f t="shared" si="7"/>
        <v>821.35500000000002</v>
      </c>
      <c r="L96" s="7">
        <f t="shared" si="8"/>
        <v>0.339997930249405</v>
      </c>
      <c r="M96" s="2" t="str">
        <f t="shared" si="9"/>
        <v>Profit</v>
      </c>
      <c r="N96" s="8">
        <f t="shared" si="10"/>
        <v>45536</v>
      </c>
      <c r="O96" s="49">
        <f t="shared" ca="1" si="11"/>
        <v>46317.962422337965</v>
      </c>
    </row>
    <row r="97" spans="1:15" x14ac:dyDescent="0.25">
      <c r="A97" s="48" t="str">
        <f>[1]Dataset!A97</f>
        <v>CUST020</v>
      </c>
      <c r="B97" s="2" t="str">
        <f>[1]Dataset!B97</f>
        <v>James Taylor</v>
      </c>
      <c r="C97" s="2" t="str">
        <f>[1]Dataset!C97</f>
        <v>South</v>
      </c>
      <c r="D97" s="2" t="str">
        <f>[1]Dataset!D97</f>
        <v>Books</v>
      </c>
      <c r="E97" s="3">
        <f>[1]Dataset!E97</f>
        <v>917.48</v>
      </c>
      <c r="F97" s="4">
        <f>[1]Dataset!F97</f>
        <v>6</v>
      </c>
      <c r="G97" s="5">
        <f>[1]Dataset!G97</f>
        <v>0</v>
      </c>
      <c r="H97" s="6">
        <f>[1]Dataset!H97</f>
        <v>45558</v>
      </c>
      <c r="I97" s="3">
        <f>[1]Dataset!I97</f>
        <v>366.99</v>
      </c>
      <c r="J97" s="3">
        <f t="shared" si="6"/>
        <v>0</v>
      </c>
      <c r="K97" s="3">
        <f t="shared" si="7"/>
        <v>917.48</v>
      </c>
      <c r="L97" s="7">
        <f t="shared" si="8"/>
        <v>0.39999782011596985</v>
      </c>
      <c r="M97" s="2" t="str">
        <f t="shared" si="9"/>
        <v>Profit</v>
      </c>
      <c r="N97" s="8">
        <f t="shared" si="10"/>
        <v>45536</v>
      </c>
      <c r="O97" s="49">
        <f t="shared" ca="1" si="11"/>
        <v>46317.962422337965</v>
      </c>
    </row>
    <row r="98" spans="1:15" x14ac:dyDescent="0.25">
      <c r="A98" s="48" t="str">
        <f>[1]Dataset!A98</f>
        <v>CUST029</v>
      </c>
      <c r="B98" s="2" t="str">
        <f>[1]Dataset!B98</f>
        <v>Emma Wilson</v>
      </c>
      <c r="C98" s="2" t="str">
        <f>[1]Dataset!C98</f>
        <v>West</v>
      </c>
      <c r="D98" s="2" t="str">
        <f>[1]Dataset!D98</f>
        <v>Furniture</v>
      </c>
      <c r="E98" s="3">
        <f>[1]Dataset!E98</f>
        <v>1172.97</v>
      </c>
      <c r="F98" s="4">
        <f>[1]Dataset!F98</f>
        <v>7</v>
      </c>
      <c r="G98" s="5">
        <f>[1]Dataset!G98</f>
        <v>0.15</v>
      </c>
      <c r="H98" s="6">
        <f>[1]Dataset!H98</f>
        <v>45559</v>
      </c>
      <c r="I98" s="3">
        <f>[1]Dataset!I98</f>
        <v>348.96</v>
      </c>
      <c r="J98" s="3">
        <f t="shared" si="6"/>
        <v>175.94550000000001</v>
      </c>
      <c r="K98" s="3">
        <f t="shared" si="7"/>
        <v>997.02449999999999</v>
      </c>
      <c r="L98" s="7">
        <f t="shared" si="8"/>
        <v>0.29750121486483028</v>
      </c>
      <c r="M98" s="2" t="str">
        <f t="shared" si="9"/>
        <v>Profit</v>
      </c>
      <c r="N98" s="8">
        <f t="shared" si="10"/>
        <v>45536</v>
      </c>
      <c r="O98" s="49">
        <f t="shared" ca="1" si="11"/>
        <v>46317.962422337965</v>
      </c>
    </row>
    <row r="99" spans="1:15" x14ac:dyDescent="0.25">
      <c r="A99" s="48" t="str">
        <f>[1]Dataset!A99</f>
        <v>CUST021</v>
      </c>
      <c r="B99" s="2" t="str">
        <f>[1]Dataset!B99</f>
        <v>James Wilson</v>
      </c>
      <c r="C99" s="2" t="str">
        <f>[1]Dataset!C99</f>
        <v>North</v>
      </c>
      <c r="D99" s="2" t="str">
        <f>[1]Dataset!D99</f>
        <v>Clothing</v>
      </c>
      <c r="E99" s="3">
        <f>[1]Dataset!E99</f>
        <v>1205.82</v>
      </c>
      <c r="F99" s="4">
        <f>[1]Dataset!F99</f>
        <v>11</v>
      </c>
      <c r="G99" s="5">
        <f>[1]Dataset!G99</f>
        <v>0.1</v>
      </c>
      <c r="H99" s="6">
        <f>[1]Dataset!H99</f>
        <v>45559</v>
      </c>
      <c r="I99" s="3">
        <f>[1]Dataset!I99</f>
        <v>542.62</v>
      </c>
      <c r="J99" s="3">
        <f t="shared" si="6"/>
        <v>120.58199999999999</v>
      </c>
      <c r="K99" s="3">
        <f t="shared" si="7"/>
        <v>1085.2379999999998</v>
      </c>
      <c r="L99" s="7">
        <f t="shared" si="8"/>
        <v>0.45000082931117419</v>
      </c>
      <c r="M99" s="2" t="str">
        <f t="shared" si="9"/>
        <v>Profit</v>
      </c>
      <c r="N99" s="8">
        <f t="shared" si="10"/>
        <v>45536</v>
      </c>
      <c r="O99" s="49">
        <f t="shared" ca="1" si="11"/>
        <v>46317.962422337965</v>
      </c>
    </row>
    <row r="100" spans="1:15" x14ac:dyDescent="0.25">
      <c r="A100" s="48" t="str">
        <f>[1]Dataset!A100</f>
        <v>CUST017</v>
      </c>
      <c r="B100" s="2" t="str">
        <f>[1]Dataset!B100</f>
        <v>Sarah Davis</v>
      </c>
      <c r="C100" s="2" t="str">
        <f>[1]Dataset!C100</f>
        <v>West</v>
      </c>
      <c r="D100" s="2" t="str">
        <f>[1]Dataset!D100</f>
        <v>Office Supplies</v>
      </c>
      <c r="E100" s="3">
        <f>[1]Dataset!E100</f>
        <v>826.93</v>
      </c>
      <c r="F100" s="4">
        <f>[1]Dataset!F100</f>
        <v>10</v>
      </c>
      <c r="G100" s="5">
        <f>[1]Dataset!G100</f>
        <v>0.2</v>
      </c>
      <c r="H100" s="6">
        <f>[1]Dataset!H100</f>
        <v>45564</v>
      </c>
      <c r="I100" s="3">
        <f>[1]Dataset!I100</f>
        <v>297.69</v>
      </c>
      <c r="J100" s="3">
        <f t="shared" si="6"/>
        <v>165.386</v>
      </c>
      <c r="K100" s="3">
        <f t="shared" si="7"/>
        <v>661.54399999999998</v>
      </c>
      <c r="L100" s="7">
        <f t="shared" si="8"/>
        <v>0.35999419539743388</v>
      </c>
      <c r="M100" s="2" t="str">
        <f t="shared" si="9"/>
        <v>Profit</v>
      </c>
      <c r="N100" s="8">
        <f t="shared" si="10"/>
        <v>45536</v>
      </c>
      <c r="O100" s="49">
        <f t="shared" ca="1" si="11"/>
        <v>46317.962422337965</v>
      </c>
    </row>
    <row r="101" spans="1:15" x14ac:dyDescent="0.25">
      <c r="A101" s="48" t="str">
        <f>[1]Dataset!A101</f>
        <v>CUST003</v>
      </c>
      <c r="B101" s="2" t="str">
        <f>[1]Dataset!B101</f>
        <v>James Wilson</v>
      </c>
      <c r="C101" s="2" t="str">
        <f>[1]Dataset!C101</f>
        <v>Central</v>
      </c>
      <c r="D101" s="2" t="str">
        <f>[1]Dataset!D101</f>
        <v>Clothing</v>
      </c>
      <c r="E101" s="3">
        <f>[1]Dataset!E101</f>
        <v>902.19</v>
      </c>
      <c r="F101" s="4">
        <f>[1]Dataset!F101</f>
        <v>12</v>
      </c>
      <c r="G101" s="5">
        <f>[1]Dataset!G101</f>
        <v>0</v>
      </c>
      <c r="H101" s="6">
        <f>[1]Dataset!H101</f>
        <v>45564</v>
      </c>
      <c r="I101" s="3">
        <f>[1]Dataset!I101</f>
        <v>451.1</v>
      </c>
      <c r="J101" s="3">
        <f t="shared" si="6"/>
        <v>0</v>
      </c>
      <c r="K101" s="3">
        <f t="shared" si="7"/>
        <v>902.19</v>
      </c>
      <c r="L101" s="7">
        <f t="shared" si="8"/>
        <v>0.50000554206985226</v>
      </c>
      <c r="M101" s="2" t="str">
        <f t="shared" si="9"/>
        <v>Profit</v>
      </c>
      <c r="N101" s="8">
        <f t="shared" si="10"/>
        <v>45536</v>
      </c>
      <c r="O101" s="49">
        <f t="shared" ca="1" si="11"/>
        <v>46317.962422337965</v>
      </c>
    </row>
    <row r="102" spans="1:15" x14ac:dyDescent="0.25">
      <c r="A102" s="48" t="str">
        <f>[1]Dataset!A102</f>
        <v>CUST027</v>
      </c>
      <c r="B102" s="2" t="str">
        <f>[1]Dataset!B102</f>
        <v>Emma Davis</v>
      </c>
      <c r="C102" s="2" t="str">
        <f>[1]Dataset!C102</f>
        <v>North</v>
      </c>
      <c r="D102" s="2" t="str">
        <f>[1]Dataset!D102</f>
        <v>Books</v>
      </c>
      <c r="E102" s="3">
        <f>[1]Dataset!E102</f>
        <v>585.97</v>
      </c>
      <c r="F102" s="4">
        <f>[1]Dataset!F102</f>
        <v>17</v>
      </c>
      <c r="G102" s="5">
        <f>[1]Dataset!G102</f>
        <v>0.1</v>
      </c>
      <c r="H102" s="6">
        <f>[1]Dataset!H102</f>
        <v>45565</v>
      </c>
      <c r="I102" s="3">
        <f>[1]Dataset!I102</f>
        <v>210.95</v>
      </c>
      <c r="J102" s="3">
        <f t="shared" si="6"/>
        <v>58.597000000000008</v>
      </c>
      <c r="K102" s="3">
        <f t="shared" si="7"/>
        <v>527.37300000000005</v>
      </c>
      <c r="L102" s="7">
        <f t="shared" si="8"/>
        <v>0.36000136525760701</v>
      </c>
      <c r="M102" s="2" t="str">
        <f t="shared" si="9"/>
        <v>Profit</v>
      </c>
      <c r="N102" s="8">
        <f t="shared" si="10"/>
        <v>45536</v>
      </c>
      <c r="O102" s="49">
        <f t="shared" ca="1" si="11"/>
        <v>46317.962422337965</v>
      </c>
    </row>
    <row r="103" spans="1:15" x14ac:dyDescent="0.25">
      <c r="A103" s="48" t="str">
        <f>[1]Dataset!A103</f>
        <v>CUST016</v>
      </c>
      <c r="B103" s="2" t="str">
        <f>[1]Dataset!B103</f>
        <v>Michael Anderson</v>
      </c>
      <c r="C103" s="2" t="str">
        <f>[1]Dataset!C103</f>
        <v>North</v>
      </c>
      <c r="D103" s="2" t="str">
        <f>[1]Dataset!D103</f>
        <v>Clothing</v>
      </c>
      <c r="E103" s="3">
        <f>[1]Dataset!E103</f>
        <v>990.19</v>
      </c>
      <c r="F103" s="4">
        <f>[1]Dataset!F103</f>
        <v>8</v>
      </c>
      <c r="G103" s="5">
        <f>[1]Dataset!G103</f>
        <v>0.1</v>
      </c>
      <c r="H103" s="6">
        <f>[1]Dataset!H103</f>
        <v>45565</v>
      </c>
      <c r="I103" s="3">
        <f>[1]Dataset!I103</f>
        <v>445.59</v>
      </c>
      <c r="J103" s="3">
        <f t="shared" si="6"/>
        <v>99.019000000000005</v>
      </c>
      <c r="K103" s="3">
        <f t="shared" si="7"/>
        <v>891.17100000000005</v>
      </c>
      <c r="L103" s="7">
        <f t="shared" si="8"/>
        <v>0.45000454458235284</v>
      </c>
      <c r="M103" s="2" t="str">
        <f t="shared" si="9"/>
        <v>Profit</v>
      </c>
      <c r="N103" s="8">
        <f t="shared" si="10"/>
        <v>45536</v>
      </c>
      <c r="O103" s="49">
        <f t="shared" ca="1" si="11"/>
        <v>46317.962422337965</v>
      </c>
    </row>
    <row r="104" spans="1:15" x14ac:dyDescent="0.25">
      <c r="A104" s="48" t="str">
        <f>[1]Dataset!A104</f>
        <v>CUST008</v>
      </c>
      <c r="B104" s="2" t="str">
        <f>[1]Dataset!B104</f>
        <v>David Davis</v>
      </c>
      <c r="C104" s="2" t="str">
        <f>[1]Dataset!C104</f>
        <v>Central</v>
      </c>
      <c r="D104" s="2" t="str">
        <f>[1]Dataset!D104</f>
        <v>Electronics</v>
      </c>
      <c r="E104" s="3">
        <f>[1]Dataset!E104</f>
        <v>1014.09</v>
      </c>
      <c r="F104" s="4">
        <f>[1]Dataset!F104</f>
        <v>13</v>
      </c>
      <c r="G104" s="5">
        <f>[1]Dataset!G104</f>
        <v>0.2</v>
      </c>
      <c r="H104" s="6">
        <f>[1]Dataset!H104</f>
        <v>45567</v>
      </c>
      <c r="I104" s="3">
        <f>[1]Dataset!I104</f>
        <v>202.82</v>
      </c>
      <c r="J104" s="3">
        <f t="shared" si="6"/>
        <v>202.81800000000001</v>
      </c>
      <c r="K104" s="3">
        <f t="shared" si="7"/>
        <v>811.27200000000005</v>
      </c>
      <c r="L104" s="7">
        <f t="shared" si="8"/>
        <v>0.2000019722115394</v>
      </c>
      <c r="M104" s="2" t="str">
        <f t="shared" si="9"/>
        <v>Profit</v>
      </c>
      <c r="N104" s="8">
        <f t="shared" si="10"/>
        <v>45566</v>
      </c>
      <c r="O104" s="49">
        <f t="shared" ca="1" si="11"/>
        <v>46317.962422337965</v>
      </c>
    </row>
    <row r="105" spans="1:15" x14ac:dyDescent="0.25">
      <c r="A105" s="48" t="str">
        <f>[1]Dataset!A105</f>
        <v>CUST012</v>
      </c>
      <c r="B105" s="2" t="str">
        <f>[1]Dataset!B105</f>
        <v>Lisa Davis</v>
      </c>
      <c r="C105" s="2" t="str">
        <f>[1]Dataset!C105</f>
        <v>North</v>
      </c>
      <c r="D105" s="2" t="str">
        <f>[1]Dataset!D105</f>
        <v>Electronics</v>
      </c>
      <c r="E105" s="3">
        <f>[1]Dataset!E105</f>
        <v>925.29</v>
      </c>
      <c r="F105" s="4">
        <f>[1]Dataset!F105</f>
        <v>17</v>
      </c>
      <c r="G105" s="5">
        <f>[1]Dataset!G105</f>
        <v>0</v>
      </c>
      <c r="H105" s="6">
        <f>[1]Dataset!H105</f>
        <v>45570</v>
      </c>
      <c r="I105" s="3">
        <f>[1]Dataset!I105</f>
        <v>231.32</v>
      </c>
      <c r="J105" s="3">
        <f t="shared" si="6"/>
        <v>0</v>
      </c>
      <c r="K105" s="3">
        <f t="shared" si="7"/>
        <v>925.29</v>
      </c>
      <c r="L105" s="7">
        <f t="shared" si="8"/>
        <v>0.24999729814436555</v>
      </c>
      <c r="M105" s="2" t="str">
        <f t="shared" si="9"/>
        <v>Profit</v>
      </c>
      <c r="N105" s="8">
        <f t="shared" si="10"/>
        <v>45566</v>
      </c>
      <c r="O105" s="49">
        <f t="shared" ca="1" si="11"/>
        <v>46317.962422337965</v>
      </c>
    </row>
    <row r="106" spans="1:15" x14ac:dyDescent="0.25">
      <c r="A106" s="48" t="str">
        <f>[1]Dataset!A106</f>
        <v>CUST025</v>
      </c>
      <c r="B106" s="2" t="str">
        <f>[1]Dataset!B106</f>
        <v>Mary Jackson</v>
      </c>
      <c r="C106" s="2" t="str">
        <f>[1]Dataset!C106</f>
        <v>East</v>
      </c>
      <c r="D106" s="2" t="str">
        <f>[1]Dataset!D106</f>
        <v>Furniture</v>
      </c>
      <c r="E106" s="3">
        <f>[1]Dataset!E106</f>
        <v>1286.54</v>
      </c>
      <c r="F106" s="4">
        <f>[1]Dataset!F106</f>
        <v>8</v>
      </c>
      <c r="G106" s="5">
        <f>[1]Dataset!G106</f>
        <v>0</v>
      </c>
      <c r="H106" s="6">
        <f>[1]Dataset!H106</f>
        <v>45575</v>
      </c>
      <c r="I106" s="3">
        <f>[1]Dataset!I106</f>
        <v>450.29</v>
      </c>
      <c r="J106" s="3">
        <f t="shared" si="6"/>
        <v>0</v>
      </c>
      <c r="K106" s="3">
        <f t="shared" si="7"/>
        <v>1286.54</v>
      </c>
      <c r="L106" s="7">
        <f t="shared" si="8"/>
        <v>0.35000077727859225</v>
      </c>
      <c r="M106" s="2" t="str">
        <f t="shared" si="9"/>
        <v>Profit</v>
      </c>
      <c r="N106" s="8">
        <f t="shared" si="10"/>
        <v>45566</v>
      </c>
      <c r="O106" s="49">
        <f t="shared" ca="1" si="11"/>
        <v>46317.962422337965</v>
      </c>
    </row>
    <row r="107" spans="1:15" x14ac:dyDescent="0.25">
      <c r="A107" s="48" t="str">
        <f>[1]Dataset!A107</f>
        <v>CUST014</v>
      </c>
      <c r="B107" s="2" t="str">
        <f>[1]Dataset!B107</f>
        <v>Sarah Davis</v>
      </c>
      <c r="C107" s="2" t="str">
        <f>[1]Dataset!C107</f>
        <v>South</v>
      </c>
      <c r="D107" s="2" t="str">
        <f>[1]Dataset!D107</f>
        <v>Books</v>
      </c>
      <c r="E107" s="3">
        <f>[1]Dataset!E107</f>
        <v>961.62</v>
      </c>
      <c r="F107" s="4">
        <f>[1]Dataset!F107</f>
        <v>8</v>
      </c>
      <c r="G107" s="5">
        <f>[1]Dataset!G107</f>
        <v>0.2</v>
      </c>
      <c r="H107" s="6">
        <f>[1]Dataset!H107</f>
        <v>45577</v>
      </c>
      <c r="I107" s="3">
        <f>[1]Dataset!I107</f>
        <v>307.72000000000003</v>
      </c>
      <c r="J107" s="3">
        <f t="shared" si="6"/>
        <v>192.32400000000001</v>
      </c>
      <c r="K107" s="3">
        <f t="shared" si="7"/>
        <v>769.29600000000005</v>
      </c>
      <c r="L107" s="7">
        <f t="shared" si="8"/>
        <v>0.32000166385890477</v>
      </c>
      <c r="M107" s="2" t="str">
        <f t="shared" si="9"/>
        <v>Profit</v>
      </c>
      <c r="N107" s="8">
        <f t="shared" si="10"/>
        <v>45566</v>
      </c>
      <c r="O107" s="49">
        <f t="shared" ca="1" si="11"/>
        <v>46317.962422337965</v>
      </c>
    </row>
    <row r="108" spans="1:15" x14ac:dyDescent="0.25">
      <c r="A108" s="48" t="str">
        <f>[1]Dataset!A108</f>
        <v>CUST008</v>
      </c>
      <c r="B108" s="2" t="str">
        <f>[1]Dataset!B108</f>
        <v>James Wilson</v>
      </c>
      <c r="C108" s="2" t="str">
        <f>[1]Dataset!C108</f>
        <v>East</v>
      </c>
      <c r="D108" s="2" t="str">
        <f>[1]Dataset!D108</f>
        <v>Books</v>
      </c>
      <c r="E108" s="3">
        <f>[1]Dataset!E108</f>
        <v>1081.1400000000001</v>
      </c>
      <c r="F108" s="4">
        <f>[1]Dataset!F108</f>
        <v>19</v>
      </c>
      <c r="G108" s="5">
        <f>[1]Dataset!G108</f>
        <v>0.15</v>
      </c>
      <c r="H108" s="6">
        <f>[1]Dataset!H108</f>
        <v>45577</v>
      </c>
      <c r="I108" s="3">
        <f>[1]Dataset!I108</f>
        <v>367.59</v>
      </c>
      <c r="J108" s="3">
        <f t="shared" si="6"/>
        <v>162.17100000000002</v>
      </c>
      <c r="K108" s="3">
        <f t="shared" si="7"/>
        <v>918.96900000000005</v>
      </c>
      <c r="L108" s="7">
        <f t="shared" si="8"/>
        <v>0.34000221987901652</v>
      </c>
      <c r="M108" s="2" t="str">
        <f t="shared" si="9"/>
        <v>Profit</v>
      </c>
      <c r="N108" s="8">
        <f t="shared" si="10"/>
        <v>45566</v>
      </c>
      <c r="O108" s="49">
        <f t="shared" ca="1" si="11"/>
        <v>46317.962422337965</v>
      </c>
    </row>
    <row r="109" spans="1:15" x14ac:dyDescent="0.25">
      <c r="A109" s="48" t="str">
        <f>[1]Dataset!A109</f>
        <v>CUST015</v>
      </c>
      <c r="B109" s="2" t="str">
        <f>[1]Dataset!B109</f>
        <v>James Wilson</v>
      </c>
      <c r="C109" s="2" t="str">
        <f>[1]Dataset!C109</f>
        <v>West</v>
      </c>
      <c r="D109" s="2" t="str">
        <f>[1]Dataset!D109</f>
        <v>Clothing</v>
      </c>
      <c r="E109" s="3">
        <f>[1]Dataset!E109</f>
        <v>1923.66</v>
      </c>
      <c r="F109" s="4">
        <f>[1]Dataset!F109</f>
        <v>9</v>
      </c>
      <c r="G109" s="5">
        <f>[1]Dataset!G109</f>
        <v>0.2</v>
      </c>
      <c r="H109" s="6">
        <f>[1]Dataset!H109</f>
        <v>45580</v>
      </c>
      <c r="I109" s="3">
        <f>[1]Dataset!I109</f>
        <v>769.46</v>
      </c>
      <c r="J109" s="3">
        <f t="shared" si="6"/>
        <v>384.73200000000003</v>
      </c>
      <c r="K109" s="3">
        <f t="shared" si="7"/>
        <v>1538.9280000000001</v>
      </c>
      <c r="L109" s="7">
        <f t="shared" si="8"/>
        <v>0.39999792063046485</v>
      </c>
      <c r="M109" s="2" t="str">
        <f t="shared" si="9"/>
        <v>Profit</v>
      </c>
      <c r="N109" s="8">
        <f t="shared" si="10"/>
        <v>45566</v>
      </c>
      <c r="O109" s="49">
        <f t="shared" ca="1" si="11"/>
        <v>46317.962422337965</v>
      </c>
    </row>
    <row r="110" spans="1:15" x14ac:dyDescent="0.25">
      <c r="A110" s="48" t="str">
        <f>[1]Dataset!A110</f>
        <v>CUST025</v>
      </c>
      <c r="B110" s="2" t="str">
        <f>[1]Dataset!B110</f>
        <v>Emma Taylor</v>
      </c>
      <c r="C110" s="2" t="str">
        <f>[1]Dataset!C110</f>
        <v>Central</v>
      </c>
      <c r="D110" s="2" t="str">
        <f>[1]Dataset!D110</f>
        <v>Clothing</v>
      </c>
      <c r="E110" s="3">
        <f>[1]Dataset!E110</f>
        <v>728.71</v>
      </c>
      <c r="F110" s="4">
        <f>[1]Dataset!F110</f>
        <v>14</v>
      </c>
      <c r="G110" s="5">
        <f>[1]Dataset!G110</f>
        <v>0.1</v>
      </c>
      <c r="H110" s="6">
        <f>[1]Dataset!H110</f>
        <v>45581</v>
      </c>
      <c r="I110" s="3">
        <f>[1]Dataset!I110</f>
        <v>327.92</v>
      </c>
      <c r="J110" s="3">
        <f t="shared" si="6"/>
        <v>72.871000000000009</v>
      </c>
      <c r="K110" s="3">
        <f t="shared" si="7"/>
        <v>655.83900000000006</v>
      </c>
      <c r="L110" s="7">
        <f t="shared" si="8"/>
        <v>0.4500006861440079</v>
      </c>
      <c r="M110" s="2" t="str">
        <f t="shared" si="9"/>
        <v>Profit</v>
      </c>
      <c r="N110" s="8">
        <f t="shared" si="10"/>
        <v>45566</v>
      </c>
      <c r="O110" s="49">
        <f t="shared" ca="1" si="11"/>
        <v>46317.962422337965</v>
      </c>
    </row>
    <row r="111" spans="1:15" x14ac:dyDescent="0.25">
      <c r="A111" s="48" t="str">
        <f>[1]Dataset!A111</f>
        <v>CUST019</v>
      </c>
      <c r="B111" s="2" t="str">
        <f>[1]Dataset!B111</f>
        <v>Linda Jackson</v>
      </c>
      <c r="C111" s="2" t="str">
        <f>[1]Dataset!C111</f>
        <v>Central</v>
      </c>
      <c r="D111" s="2" t="str">
        <f>[1]Dataset!D111</f>
        <v>Clothing</v>
      </c>
      <c r="E111" s="3">
        <f>[1]Dataset!E111</f>
        <v>1301.8900000000001</v>
      </c>
      <c r="F111" s="4">
        <f>[1]Dataset!F111</f>
        <v>7</v>
      </c>
      <c r="G111" s="5">
        <f>[1]Dataset!G111</f>
        <v>0.15</v>
      </c>
      <c r="H111" s="6">
        <f>[1]Dataset!H111</f>
        <v>45581</v>
      </c>
      <c r="I111" s="3">
        <f>[1]Dataset!I111</f>
        <v>553.29999999999995</v>
      </c>
      <c r="J111" s="3">
        <f t="shared" si="6"/>
        <v>195.2835</v>
      </c>
      <c r="K111" s="3">
        <f t="shared" si="7"/>
        <v>1106.6065000000001</v>
      </c>
      <c r="L111" s="7">
        <f t="shared" si="8"/>
        <v>0.4249975036293388</v>
      </c>
      <c r="M111" s="2" t="str">
        <f t="shared" si="9"/>
        <v>Profit</v>
      </c>
      <c r="N111" s="8">
        <f t="shared" si="10"/>
        <v>45566</v>
      </c>
      <c r="O111" s="49">
        <f t="shared" ca="1" si="11"/>
        <v>46317.962422337965</v>
      </c>
    </row>
    <row r="112" spans="1:15" x14ac:dyDescent="0.25">
      <c r="A112" s="48" t="str">
        <f>[1]Dataset!A112</f>
        <v>CUST024</v>
      </c>
      <c r="B112" s="2" t="str">
        <f>[1]Dataset!B112</f>
        <v>Emma Taylor</v>
      </c>
      <c r="C112" s="2" t="str">
        <f>[1]Dataset!C112</f>
        <v>East</v>
      </c>
      <c r="D112" s="2" t="str">
        <f>[1]Dataset!D112</f>
        <v>Books</v>
      </c>
      <c r="E112" s="3">
        <f>[1]Dataset!E112</f>
        <v>980.18</v>
      </c>
      <c r="F112" s="4">
        <f>[1]Dataset!F112</f>
        <v>16</v>
      </c>
      <c r="G112" s="5">
        <f>[1]Dataset!G112</f>
        <v>0.1</v>
      </c>
      <c r="H112" s="6">
        <f>[1]Dataset!H112</f>
        <v>45582</v>
      </c>
      <c r="I112" s="3">
        <f>[1]Dataset!I112</f>
        <v>352.86</v>
      </c>
      <c r="J112" s="3">
        <f t="shared" si="6"/>
        <v>98.018000000000001</v>
      </c>
      <c r="K112" s="3">
        <f t="shared" si="7"/>
        <v>882.16199999999992</v>
      </c>
      <c r="L112" s="7">
        <f t="shared" si="8"/>
        <v>0.35999510294027631</v>
      </c>
      <c r="M112" s="2" t="str">
        <f t="shared" si="9"/>
        <v>Profit</v>
      </c>
      <c r="N112" s="8">
        <f t="shared" si="10"/>
        <v>45566</v>
      </c>
      <c r="O112" s="49">
        <f t="shared" ca="1" si="11"/>
        <v>46317.962422337965</v>
      </c>
    </row>
    <row r="113" spans="1:15" x14ac:dyDescent="0.25">
      <c r="A113" s="48" t="str">
        <f>[1]Dataset!A113</f>
        <v>CUST027</v>
      </c>
      <c r="B113" s="2" t="str">
        <f>[1]Dataset!B113</f>
        <v>James Wilson</v>
      </c>
      <c r="C113" s="2" t="str">
        <f>[1]Dataset!C113</f>
        <v>West</v>
      </c>
      <c r="D113" s="2" t="str">
        <f>[1]Dataset!D113</f>
        <v>Clothing</v>
      </c>
      <c r="E113" s="3">
        <f>[1]Dataset!E113</f>
        <v>697.57</v>
      </c>
      <c r="F113" s="4">
        <f>[1]Dataset!F113</f>
        <v>17</v>
      </c>
      <c r="G113" s="5">
        <f>[1]Dataset!G113</f>
        <v>0.1</v>
      </c>
      <c r="H113" s="6">
        <f>[1]Dataset!H113</f>
        <v>45584</v>
      </c>
      <c r="I113" s="3">
        <f>[1]Dataset!I113</f>
        <v>313.91000000000003</v>
      </c>
      <c r="J113" s="3">
        <f t="shared" si="6"/>
        <v>69.757000000000005</v>
      </c>
      <c r="K113" s="3">
        <f t="shared" si="7"/>
        <v>627.8130000000001</v>
      </c>
      <c r="L113" s="7">
        <f t="shared" si="8"/>
        <v>0.45000501741760685</v>
      </c>
      <c r="M113" s="2" t="str">
        <f t="shared" si="9"/>
        <v>Profit</v>
      </c>
      <c r="N113" s="8">
        <f t="shared" si="10"/>
        <v>45566</v>
      </c>
      <c r="O113" s="49">
        <f t="shared" ca="1" si="11"/>
        <v>46317.962422337965</v>
      </c>
    </row>
    <row r="114" spans="1:15" x14ac:dyDescent="0.25">
      <c r="A114" s="48" t="str">
        <f>[1]Dataset!A114</f>
        <v>CUST006</v>
      </c>
      <c r="B114" s="2" t="str">
        <f>[1]Dataset!B114</f>
        <v>David Anderson</v>
      </c>
      <c r="C114" s="2" t="str">
        <f>[1]Dataset!C114</f>
        <v>West</v>
      </c>
      <c r="D114" s="2" t="str">
        <f>[1]Dataset!D114</f>
        <v>Furniture</v>
      </c>
      <c r="E114" s="3">
        <f>[1]Dataset!E114</f>
        <v>1193.6099999999999</v>
      </c>
      <c r="F114" s="4">
        <f>[1]Dataset!F114</f>
        <v>1</v>
      </c>
      <c r="G114" s="5">
        <f>[1]Dataset!G114</f>
        <v>0.15</v>
      </c>
      <c r="H114" s="6">
        <f>[1]Dataset!H114</f>
        <v>45584</v>
      </c>
      <c r="I114" s="3">
        <f>[1]Dataset!I114</f>
        <v>355.1</v>
      </c>
      <c r="J114" s="3">
        <f t="shared" si="6"/>
        <v>179.04149999999998</v>
      </c>
      <c r="K114" s="3">
        <f t="shared" si="7"/>
        <v>1014.5684999999999</v>
      </c>
      <c r="L114" s="7">
        <f t="shared" si="8"/>
        <v>0.29750085873945431</v>
      </c>
      <c r="M114" s="2" t="str">
        <f t="shared" si="9"/>
        <v>Profit</v>
      </c>
      <c r="N114" s="8">
        <f t="shared" si="10"/>
        <v>45566</v>
      </c>
      <c r="O114" s="49">
        <f t="shared" ca="1" si="11"/>
        <v>46317.962422337965</v>
      </c>
    </row>
    <row r="115" spans="1:15" x14ac:dyDescent="0.25">
      <c r="A115" s="48" t="str">
        <f>[1]Dataset!A115</f>
        <v>CUST009</v>
      </c>
      <c r="B115" s="2" t="str">
        <f>[1]Dataset!B115</f>
        <v>Emma Davis</v>
      </c>
      <c r="C115" s="2" t="str">
        <f>[1]Dataset!C115</f>
        <v>South</v>
      </c>
      <c r="D115" s="2" t="str">
        <f>[1]Dataset!D115</f>
        <v>Electronics</v>
      </c>
      <c r="E115" s="3">
        <f>[1]Dataset!E115</f>
        <v>771.02</v>
      </c>
      <c r="F115" s="4">
        <f>[1]Dataset!F115</f>
        <v>1</v>
      </c>
      <c r="G115" s="5">
        <f>[1]Dataset!G115</f>
        <v>0</v>
      </c>
      <c r="H115" s="6">
        <f>[1]Dataset!H115</f>
        <v>45585</v>
      </c>
      <c r="I115" s="3">
        <f>[1]Dataset!I115</f>
        <v>192.76</v>
      </c>
      <c r="J115" s="3">
        <f t="shared" si="6"/>
        <v>0</v>
      </c>
      <c r="K115" s="3">
        <f t="shared" si="7"/>
        <v>771.02</v>
      </c>
      <c r="L115" s="7">
        <f t="shared" si="8"/>
        <v>0.25000648491608518</v>
      </c>
      <c r="M115" s="2" t="str">
        <f t="shared" si="9"/>
        <v>Profit</v>
      </c>
      <c r="N115" s="8">
        <f t="shared" si="10"/>
        <v>45566</v>
      </c>
      <c r="O115" s="49">
        <f t="shared" ca="1" si="11"/>
        <v>46317.962422337965</v>
      </c>
    </row>
    <row r="116" spans="1:15" x14ac:dyDescent="0.25">
      <c r="A116" s="48" t="str">
        <f>[1]Dataset!A116</f>
        <v>CUST003</v>
      </c>
      <c r="B116" s="2" t="str">
        <f>[1]Dataset!B116</f>
        <v>Linda Moore</v>
      </c>
      <c r="C116" s="2" t="str">
        <f>[1]Dataset!C116</f>
        <v>North</v>
      </c>
      <c r="D116" s="2" t="str">
        <f>[1]Dataset!D116</f>
        <v>Clothing</v>
      </c>
      <c r="E116" s="3">
        <f>[1]Dataset!E116</f>
        <v>661.09</v>
      </c>
      <c r="F116" s="4">
        <f>[1]Dataset!F116</f>
        <v>1</v>
      </c>
      <c r="G116" s="5">
        <f>[1]Dataset!G116</f>
        <v>0.2</v>
      </c>
      <c r="H116" s="6">
        <f>[1]Dataset!H116</f>
        <v>45593</v>
      </c>
      <c r="I116" s="3">
        <f>[1]Dataset!I116</f>
        <v>264.44</v>
      </c>
      <c r="J116" s="3">
        <f t="shared" si="6"/>
        <v>132.21800000000002</v>
      </c>
      <c r="K116" s="3">
        <f t="shared" si="7"/>
        <v>528.87200000000007</v>
      </c>
      <c r="L116" s="7">
        <f t="shared" si="8"/>
        <v>0.4000060506133809</v>
      </c>
      <c r="M116" s="2" t="str">
        <f t="shared" si="9"/>
        <v>Profit</v>
      </c>
      <c r="N116" s="8">
        <f t="shared" si="10"/>
        <v>45566</v>
      </c>
      <c r="O116" s="49">
        <f t="shared" ca="1" si="11"/>
        <v>46317.962422337965</v>
      </c>
    </row>
    <row r="117" spans="1:15" x14ac:dyDescent="0.25">
      <c r="A117" s="48" t="str">
        <f>[1]Dataset!A117</f>
        <v>CUST012</v>
      </c>
      <c r="B117" s="2" t="str">
        <f>[1]Dataset!B117</f>
        <v>David Brown</v>
      </c>
      <c r="C117" s="2" t="str">
        <f>[1]Dataset!C117</f>
        <v>West</v>
      </c>
      <c r="D117" s="2" t="str">
        <f>[1]Dataset!D117</f>
        <v>Electronics</v>
      </c>
      <c r="E117" s="3">
        <f>[1]Dataset!E117</f>
        <v>688.83</v>
      </c>
      <c r="F117" s="4">
        <f>[1]Dataset!F117</f>
        <v>15</v>
      </c>
      <c r="G117" s="5">
        <f>[1]Dataset!G117</f>
        <v>0</v>
      </c>
      <c r="H117" s="6">
        <f>[1]Dataset!H117</f>
        <v>45595</v>
      </c>
      <c r="I117" s="3">
        <f>[1]Dataset!I117</f>
        <v>172.21</v>
      </c>
      <c r="J117" s="3">
        <f t="shared" si="6"/>
        <v>0</v>
      </c>
      <c r="K117" s="3">
        <f t="shared" si="7"/>
        <v>688.83</v>
      </c>
      <c r="L117" s="7">
        <f t="shared" si="8"/>
        <v>0.2500036293425083</v>
      </c>
      <c r="M117" s="2" t="str">
        <f t="shared" si="9"/>
        <v>Profit</v>
      </c>
      <c r="N117" s="8">
        <f t="shared" si="10"/>
        <v>45566</v>
      </c>
      <c r="O117" s="49">
        <f t="shared" ca="1" si="11"/>
        <v>46317.962422337965</v>
      </c>
    </row>
    <row r="118" spans="1:15" x14ac:dyDescent="0.25">
      <c r="A118" s="48" t="str">
        <f>[1]Dataset!A118</f>
        <v>CUST013</v>
      </c>
      <c r="B118" s="2" t="str">
        <f>[1]Dataset!B118</f>
        <v>Linda Wilson</v>
      </c>
      <c r="C118" s="2" t="str">
        <f>[1]Dataset!C118</f>
        <v>Central</v>
      </c>
      <c r="D118" s="2" t="str">
        <f>[1]Dataset!D118</f>
        <v>Books</v>
      </c>
      <c r="E118" s="3">
        <f>[1]Dataset!E118</f>
        <v>1249.0999999999999</v>
      </c>
      <c r="F118" s="4">
        <f>[1]Dataset!F118</f>
        <v>4</v>
      </c>
      <c r="G118" s="5">
        <f>[1]Dataset!G118</f>
        <v>0.05</v>
      </c>
      <c r="H118" s="6">
        <f>[1]Dataset!H118</f>
        <v>45597</v>
      </c>
      <c r="I118" s="3">
        <f>[1]Dataset!I118</f>
        <v>474.66</v>
      </c>
      <c r="J118" s="3">
        <f t="shared" si="6"/>
        <v>62.454999999999998</v>
      </c>
      <c r="K118" s="3">
        <f t="shared" si="7"/>
        <v>1186.645</v>
      </c>
      <c r="L118" s="7">
        <f t="shared" si="8"/>
        <v>0.3800016011528301</v>
      </c>
      <c r="M118" s="2" t="str">
        <f t="shared" si="9"/>
        <v>Profit</v>
      </c>
      <c r="N118" s="8">
        <f t="shared" si="10"/>
        <v>45597</v>
      </c>
      <c r="O118" s="49">
        <f t="shared" ca="1" si="11"/>
        <v>46317.962422337965</v>
      </c>
    </row>
    <row r="119" spans="1:15" x14ac:dyDescent="0.25">
      <c r="A119" s="48" t="str">
        <f>[1]Dataset!A119</f>
        <v>CUST008</v>
      </c>
      <c r="B119" s="2" t="str">
        <f>[1]Dataset!B119</f>
        <v>James Wilson</v>
      </c>
      <c r="C119" s="2" t="str">
        <f>[1]Dataset!C119</f>
        <v>East</v>
      </c>
      <c r="D119" s="2" t="str">
        <f>[1]Dataset!D119</f>
        <v>Office Supplies</v>
      </c>
      <c r="E119" s="3">
        <f>[1]Dataset!E119</f>
        <v>1014.22</v>
      </c>
      <c r="F119" s="4">
        <f>[1]Dataset!F119</f>
        <v>14</v>
      </c>
      <c r="G119" s="5">
        <f>[1]Dataset!G119</f>
        <v>0.05</v>
      </c>
      <c r="H119" s="6">
        <f>[1]Dataset!H119</f>
        <v>45599</v>
      </c>
      <c r="I119" s="3">
        <f>[1]Dataset!I119</f>
        <v>433.58</v>
      </c>
      <c r="J119" s="3">
        <f t="shared" si="6"/>
        <v>50.711000000000006</v>
      </c>
      <c r="K119" s="3">
        <f t="shared" si="7"/>
        <v>963.50900000000001</v>
      </c>
      <c r="L119" s="7">
        <f t="shared" si="8"/>
        <v>0.42750093668040462</v>
      </c>
      <c r="M119" s="2" t="str">
        <f t="shared" si="9"/>
        <v>Profit</v>
      </c>
      <c r="N119" s="8">
        <f t="shared" si="10"/>
        <v>45597</v>
      </c>
      <c r="O119" s="49">
        <f t="shared" ca="1" si="11"/>
        <v>46317.962422337965</v>
      </c>
    </row>
    <row r="120" spans="1:15" x14ac:dyDescent="0.25">
      <c r="A120" s="48" t="str">
        <f>[1]Dataset!A120</f>
        <v>CUST025</v>
      </c>
      <c r="B120" s="2" t="str">
        <f>[1]Dataset!B120</f>
        <v>Lisa Davis</v>
      </c>
      <c r="C120" s="2" t="str">
        <f>[1]Dataset!C120</f>
        <v>East</v>
      </c>
      <c r="D120" s="2" t="str">
        <f>[1]Dataset!D120</f>
        <v>Books</v>
      </c>
      <c r="E120" s="3">
        <f>[1]Dataset!E120</f>
        <v>1010.58</v>
      </c>
      <c r="F120" s="4">
        <f>[1]Dataset!F120</f>
        <v>2</v>
      </c>
      <c r="G120" s="5">
        <f>[1]Dataset!G120</f>
        <v>0.15</v>
      </c>
      <c r="H120" s="6">
        <f>[1]Dataset!H120</f>
        <v>45605</v>
      </c>
      <c r="I120" s="3">
        <f>[1]Dataset!I120</f>
        <v>343.6</v>
      </c>
      <c r="J120" s="3">
        <f t="shared" si="6"/>
        <v>151.58699999999999</v>
      </c>
      <c r="K120" s="3">
        <f t="shared" si="7"/>
        <v>858.99300000000005</v>
      </c>
      <c r="L120" s="7">
        <f t="shared" si="8"/>
        <v>0.34000277068614065</v>
      </c>
      <c r="M120" s="2" t="str">
        <f t="shared" si="9"/>
        <v>Profit</v>
      </c>
      <c r="N120" s="8">
        <f t="shared" si="10"/>
        <v>45597</v>
      </c>
      <c r="O120" s="49">
        <f t="shared" ca="1" si="11"/>
        <v>46317.962422337965</v>
      </c>
    </row>
    <row r="121" spans="1:15" x14ac:dyDescent="0.25">
      <c r="A121" s="48" t="str">
        <f>[1]Dataset!A121</f>
        <v>CUST026</v>
      </c>
      <c r="B121" s="2" t="str">
        <f>[1]Dataset!B121</f>
        <v>Mary Wilson</v>
      </c>
      <c r="C121" s="2" t="str">
        <f>[1]Dataset!C121</f>
        <v>North</v>
      </c>
      <c r="D121" s="2" t="str">
        <f>[1]Dataset!D121</f>
        <v>Furniture</v>
      </c>
      <c r="E121" s="3">
        <f>[1]Dataset!E121</f>
        <v>957.29</v>
      </c>
      <c r="F121" s="4">
        <f>[1]Dataset!F121</f>
        <v>4</v>
      </c>
      <c r="G121" s="5">
        <f>[1]Dataset!G121</f>
        <v>0.05</v>
      </c>
      <c r="H121" s="6">
        <f>[1]Dataset!H121</f>
        <v>45605</v>
      </c>
      <c r="I121" s="3">
        <f>[1]Dataset!I121</f>
        <v>318.3</v>
      </c>
      <c r="J121" s="3">
        <f t="shared" si="6"/>
        <v>47.8645</v>
      </c>
      <c r="K121" s="3">
        <f t="shared" si="7"/>
        <v>909.42549999999994</v>
      </c>
      <c r="L121" s="7">
        <f t="shared" si="8"/>
        <v>0.33250112296169398</v>
      </c>
      <c r="M121" s="2" t="str">
        <f t="shared" si="9"/>
        <v>Profit</v>
      </c>
      <c r="N121" s="8">
        <f t="shared" si="10"/>
        <v>45597</v>
      </c>
      <c r="O121" s="49">
        <f t="shared" ca="1" si="11"/>
        <v>46317.962422337965</v>
      </c>
    </row>
    <row r="122" spans="1:15" x14ac:dyDescent="0.25">
      <c r="A122" s="48" t="str">
        <f>[1]Dataset!A122</f>
        <v>CUST001</v>
      </c>
      <c r="B122" s="2" t="str">
        <f>[1]Dataset!B122</f>
        <v>Lisa Thomas</v>
      </c>
      <c r="C122" s="2" t="str">
        <f>[1]Dataset!C122</f>
        <v>North</v>
      </c>
      <c r="D122" s="2" t="str">
        <f>[1]Dataset!D122</f>
        <v>Furniture</v>
      </c>
      <c r="E122" s="3">
        <f>[1]Dataset!E122</f>
        <v>1077.92</v>
      </c>
      <c r="F122" s="4">
        <f>[1]Dataset!F122</f>
        <v>3</v>
      </c>
      <c r="G122" s="5">
        <f>[1]Dataset!G122</f>
        <v>0.05</v>
      </c>
      <c r="H122" s="6">
        <f>[1]Dataset!H122</f>
        <v>45608</v>
      </c>
      <c r="I122" s="3">
        <f>[1]Dataset!I122</f>
        <v>358.41</v>
      </c>
      <c r="J122" s="3">
        <f t="shared" si="6"/>
        <v>53.896000000000008</v>
      </c>
      <c r="K122" s="3">
        <f t="shared" si="7"/>
        <v>1024.0240000000001</v>
      </c>
      <c r="L122" s="7">
        <f t="shared" si="8"/>
        <v>0.33250148434021076</v>
      </c>
      <c r="M122" s="2" t="str">
        <f t="shared" si="9"/>
        <v>Profit</v>
      </c>
      <c r="N122" s="8">
        <f t="shared" si="10"/>
        <v>45597</v>
      </c>
      <c r="O122" s="49">
        <f t="shared" ca="1" si="11"/>
        <v>46317.962422337965</v>
      </c>
    </row>
    <row r="123" spans="1:15" x14ac:dyDescent="0.25">
      <c r="A123" s="48" t="str">
        <f>[1]Dataset!A123</f>
        <v>CUST028</v>
      </c>
      <c r="B123" s="2" t="str">
        <f>[1]Dataset!B123</f>
        <v>Linda Brown</v>
      </c>
      <c r="C123" s="2" t="str">
        <f>[1]Dataset!C123</f>
        <v>South</v>
      </c>
      <c r="D123" s="2" t="str">
        <f>[1]Dataset!D123</f>
        <v>Clothing</v>
      </c>
      <c r="E123" s="3">
        <f>[1]Dataset!E123</f>
        <v>1163.01</v>
      </c>
      <c r="F123" s="4">
        <f>[1]Dataset!F123</f>
        <v>5</v>
      </c>
      <c r="G123" s="5">
        <f>[1]Dataset!G123</f>
        <v>0</v>
      </c>
      <c r="H123" s="6">
        <f>[1]Dataset!H123</f>
        <v>45611</v>
      </c>
      <c r="I123" s="3">
        <f>[1]Dataset!I123</f>
        <v>581.5</v>
      </c>
      <c r="J123" s="3">
        <f t="shared" si="6"/>
        <v>0</v>
      </c>
      <c r="K123" s="3">
        <f t="shared" si="7"/>
        <v>1163.01</v>
      </c>
      <c r="L123" s="7">
        <f t="shared" si="8"/>
        <v>0.49999570081082706</v>
      </c>
      <c r="M123" s="2" t="str">
        <f t="shared" si="9"/>
        <v>Profit</v>
      </c>
      <c r="N123" s="8">
        <f t="shared" si="10"/>
        <v>45597</v>
      </c>
      <c r="O123" s="49">
        <f t="shared" ca="1" si="11"/>
        <v>46317.962422337965</v>
      </c>
    </row>
    <row r="124" spans="1:15" x14ac:dyDescent="0.25">
      <c r="A124" s="48" t="str">
        <f>[1]Dataset!A124</f>
        <v>CUST025</v>
      </c>
      <c r="B124" s="2" t="str">
        <f>[1]Dataset!B124</f>
        <v>Lisa Thomas</v>
      </c>
      <c r="C124" s="2" t="str">
        <f>[1]Dataset!C124</f>
        <v>East</v>
      </c>
      <c r="D124" s="2" t="str">
        <f>[1]Dataset!D124</f>
        <v>Office Supplies</v>
      </c>
      <c r="E124" s="3">
        <f>[1]Dataset!E124</f>
        <v>1014.56</v>
      </c>
      <c r="F124" s="4">
        <f>[1]Dataset!F124</f>
        <v>10</v>
      </c>
      <c r="G124" s="5">
        <f>[1]Dataset!G124</f>
        <v>0.1</v>
      </c>
      <c r="H124" s="6">
        <f>[1]Dataset!H124</f>
        <v>45612</v>
      </c>
      <c r="I124" s="3">
        <f>[1]Dataset!I124</f>
        <v>410.9</v>
      </c>
      <c r="J124" s="3">
        <f t="shared" si="6"/>
        <v>101.456</v>
      </c>
      <c r="K124" s="3">
        <f t="shared" si="7"/>
        <v>913.10399999999993</v>
      </c>
      <c r="L124" s="7">
        <f t="shared" si="8"/>
        <v>0.40500315407664406</v>
      </c>
      <c r="M124" s="2" t="str">
        <f t="shared" si="9"/>
        <v>Profit</v>
      </c>
      <c r="N124" s="8">
        <f t="shared" si="10"/>
        <v>45597</v>
      </c>
      <c r="O124" s="49">
        <f t="shared" ca="1" si="11"/>
        <v>46317.962422337965</v>
      </c>
    </row>
    <row r="125" spans="1:15" x14ac:dyDescent="0.25">
      <c r="A125" s="48" t="str">
        <f>[1]Dataset!A125</f>
        <v>CUST019</v>
      </c>
      <c r="B125" s="2" t="str">
        <f>[1]Dataset!B125</f>
        <v>James Taylor</v>
      </c>
      <c r="C125" s="2" t="str">
        <f>[1]Dataset!C125</f>
        <v>South</v>
      </c>
      <c r="D125" s="2" t="str">
        <f>[1]Dataset!D125</f>
        <v>Electronics</v>
      </c>
      <c r="E125" s="3">
        <f>[1]Dataset!E125</f>
        <v>718.04</v>
      </c>
      <c r="F125" s="4">
        <f>[1]Dataset!F125</f>
        <v>14</v>
      </c>
      <c r="G125" s="5">
        <f>[1]Dataset!G125</f>
        <v>0</v>
      </c>
      <c r="H125" s="6">
        <f>[1]Dataset!H125</f>
        <v>45613</v>
      </c>
      <c r="I125" s="3">
        <f>[1]Dataset!I125</f>
        <v>179.51</v>
      </c>
      <c r="J125" s="3">
        <f t="shared" si="6"/>
        <v>0</v>
      </c>
      <c r="K125" s="3">
        <f t="shared" si="7"/>
        <v>718.04</v>
      </c>
      <c r="L125" s="7">
        <f t="shared" si="8"/>
        <v>0.25</v>
      </c>
      <c r="M125" s="2" t="str">
        <f t="shared" si="9"/>
        <v>Profit</v>
      </c>
      <c r="N125" s="8">
        <f t="shared" si="10"/>
        <v>45597</v>
      </c>
      <c r="O125" s="49">
        <f t="shared" ca="1" si="11"/>
        <v>46317.962422337965</v>
      </c>
    </row>
    <row r="126" spans="1:15" x14ac:dyDescent="0.25">
      <c r="A126" s="48" t="str">
        <f>[1]Dataset!A126</f>
        <v>CUST004</v>
      </c>
      <c r="B126" s="2" t="str">
        <f>[1]Dataset!B126</f>
        <v>James Taylor</v>
      </c>
      <c r="C126" s="2" t="str">
        <f>[1]Dataset!C126</f>
        <v>Central</v>
      </c>
      <c r="D126" s="2" t="str">
        <f>[1]Dataset!D126</f>
        <v>Clothing</v>
      </c>
      <c r="E126" s="3">
        <f>[1]Dataset!E126</f>
        <v>1277.8499999999999</v>
      </c>
      <c r="F126" s="4">
        <f>[1]Dataset!F126</f>
        <v>18</v>
      </c>
      <c r="G126" s="5">
        <f>[1]Dataset!G126</f>
        <v>0.2</v>
      </c>
      <c r="H126" s="6">
        <f>[1]Dataset!H126</f>
        <v>45613</v>
      </c>
      <c r="I126" s="3">
        <f>[1]Dataset!I126</f>
        <v>511.14</v>
      </c>
      <c r="J126" s="3">
        <f t="shared" si="6"/>
        <v>255.57</v>
      </c>
      <c r="K126" s="3">
        <f t="shared" si="7"/>
        <v>1022.28</v>
      </c>
      <c r="L126" s="7">
        <f t="shared" si="8"/>
        <v>0.4</v>
      </c>
      <c r="M126" s="2" t="str">
        <f t="shared" si="9"/>
        <v>Profit</v>
      </c>
      <c r="N126" s="8">
        <f t="shared" si="10"/>
        <v>45597</v>
      </c>
      <c r="O126" s="49">
        <f t="shared" ca="1" si="11"/>
        <v>46317.962422337965</v>
      </c>
    </row>
    <row r="127" spans="1:15" x14ac:dyDescent="0.25">
      <c r="A127" s="48" t="str">
        <f>[1]Dataset!A127</f>
        <v>CUST024</v>
      </c>
      <c r="B127" s="2" t="str">
        <f>[1]Dataset!B127</f>
        <v>James Wilson</v>
      </c>
      <c r="C127" s="2" t="str">
        <f>[1]Dataset!C127</f>
        <v>North</v>
      </c>
      <c r="D127" s="2" t="str">
        <f>[1]Dataset!D127</f>
        <v>Electronics</v>
      </c>
      <c r="E127" s="3">
        <f>[1]Dataset!E127</f>
        <v>706.73</v>
      </c>
      <c r="F127" s="4">
        <f>[1]Dataset!F127</f>
        <v>1</v>
      </c>
      <c r="G127" s="5">
        <f>[1]Dataset!G127</f>
        <v>0.15</v>
      </c>
      <c r="H127" s="6">
        <f>[1]Dataset!H127</f>
        <v>45613</v>
      </c>
      <c r="I127" s="3">
        <f>[1]Dataset!I127</f>
        <v>150.18</v>
      </c>
      <c r="J127" s="3">
        <f t="shared" si="6"/>
        <v>106.0095</v>
      </c>
      <c r="K127" s="3">
        <f t="shared" si="7"/>
        <v>600.72050000000002</v>
      </c>
      <c r="L127" s="7">
        <f t="shared" si="8"/>
        <v>0.21249982312905918</v>
      </c>
      <c r="M127" s="2" t="str">
        <f t="shared" si="9"/>
        <v>Profit</v>
      </c>
      <c r="N127" s="8">
        <f t="shared" si="10"/>
        <v>45597</v>
      </c>
      <c r="O127" s="49">
        <f t="shared" ca="1" si="11"/>
        <v>46317.962422337965</v>
      </c>
    </row>
    <row r="128" spans="1:15" x14ac:dyDescent="0.25">
      <c r="A128" s="48" t="str">
        <f>[1]Dataset!A128</f>
        <v>CUST002</v>
      </c>
      <c r="B128" s="2" t="str">
        <f>[1]Dataset!B128</f>
        <v>Linda Brown</v>
      </c>
      <c r="C128" s="2" t="str">
        <f>[1]Dataset!C128</f>
        <v>East</v>
      </c>
      <c r="D128" s="2" t="str">
        <f>[1]Dataset!D128</f>
        <v>Electronics</v>
      </c>
      <c r="E128" s="3">
        <f>[1]Dataset!E128</f>
        <v>1410.59</v>
      </c>
      <c r="F128" s="4">
        <f>[1]Dataset!F128</f>
        <v>15</v>
      </c>
      <c r="G128" s="5">
        <f>[1]Dataset!G128</f>
        <v>0</v>
      </c>
      <c r="H128" s="6">
        <f>[1]Dataset!H128</f>
        <v>45615</v>
      </c>
      <c r="I128" s="3">
        <f>[1]Dataset!I128</f>
        <v>352.65</v>
      </c>
      <c r="J128" s="3">
        <f t="shared" si="6"/>
        <v>0</v>
      </c>
      <c r="K128" s="3">
        <f t="shared" si="7"/>
        <v>1410.59</v>
      </c>
      <c r="L128" s="7">
        <f t="shared" si="8"/>
        <v>0.25000177230804133</v>
      </c>
      <c r="M128" s="2" t="str">
        <f t="shared" si="9"/>
        <v>Profit</v>
      </c>
      <c r="N128" s="8">
        <f t="shared" si="10"/>
        <v>45597</v>
      </c>
      <c r="O128" s="49">
        <f t="shared" ca="1" si="11"/>
        <v>46317.962422337965</v>
      </c>
    </row>
    <row r="129" spans="1:15" x14ac:dyDescent="0.25">
      <c r="A129" s="48" t="str">
        <f>[1]Dataset!A129</f>
        <v>CUST009</v>
      </c>
      <c r="B129" s="2" t="str">
        <f>[1]Dataset!B129</f>
        <v>Emma Wilson</v>
      </c>
      <c r="C129" s="2" t="str">
        <f>[1]Dataset!C129</f>
        <v>South</v>
      </c>
      <c r="D129" s="2" t="str">
        <f>[1]Dataset!D129</f>
        <v>Furniture</v>
      </c>
      <c r="E129" s="3">
        <f>[1]Dataset!E129</f>
        <v>1350.33</v>
      </c>
      <c r="F129" s="4">
        <f>[1]Dataset!F129</f>
        <v>10</v>
      </c>
      <c r="G129" s="5">
        <f>[1]Dataset!G129</f>
        <v>0</v>
      </c>
      <c r="H129" s="6">
        <f>[1]Dataset!H129</f>
        <v>45615</v>
      </c>
      <c r="I129" s="3">
        <f>[1]Dataset!I129</f>
        <v>472.62</v>
      </c>
      <c r="J129" s="3">
        <f t="shared" si="6"/>
        <v>0</v>
      </c>
      <c r="K129" s="3">
        <f t="shared" si="7"/>
        <v>1350.33</v>
      </c>
      <c r="L129" s="7">
        <f t="shared" si="8"/>
        <v>0.35000333251871768</v>
      </c>
      <c r="M129" s="2" t="str">
        <f t="shared" si="9"/>
        <v>Profit</v>
      </c>
      <c r="N129" s="8">
        <f t="shared" si="10"/>
        <v>45597</v>
      </c>
      <c r="O129" s="49">
        <f t="shared" ca="1" si="11"/>
        <v>46317.962422337965</v>
      </c>
    </row>
    <row r="130" spans="1:15" x14ac:dyDescent="0.25">
      <c r="A130" s="48" t="str">
        <f>[1]Dataset!A130</f>
        <v>CUST029</v>
      </c>
      <c r="B130" s="2" t="str">
        <f>[1]Dataset!B130</f>
        <v>Lisa Thomas</v>
      </c>
      <c r="C130" s="2" t="str">
        <f>[1]Dataset!C130</f>
        <v>East</v>
      </c>
      <c r="D130" s="2" t="str">
        <f>[1]Dataset!D130</f>
        <v>Electronics</v>
      </c>
      <c r="E130" s="3">
        <f>[1]Dataset!E130</f>
        <v>919.18</v>
      </c>
      <c r="F130" s="4">
        <f>[1]Dataset!F130</f>
        <v>4</v>
      </c>
      <c r="G130" s="5">
        <f>[1]Dataset!G130</f>
        <v>0.15</v>
      </c>
      <c r="H130" s="6">
        <f>[1]Dataset!H130</f>
        <v>45615</v>
      </c>
      <c r="I130" s="3">
        <f>[1]Dataset!I130</f>
        <v>195.33</v>
      </c>
      <c r="J130" s="3">
        <f t="shared" ref="J130:J193" si="12">E130*G130</f>
        <v>137.87699999999998</v>
      </c>
      <c r="K130" s="3">
        <f t="shared" ref="K130:K193" si="13">E130-J130</f>
        <v>781.303</v>
      </c>
      <c r="L130" s="7">
        <f t="shared" ref="L130:L193" si="14">IF(E130=0,0,I130/E130)</f>
        <v>0.21250462368632914</v>
      </c>
      <c r="M130" s="2" t="str">
        <f t="shared" ref="M130:M193" si="15">IF(I130&gt;0,"Profit",IF(I130=0,"Break-even","Loss"))</f>
        <v>Profit</v>
      </c>
      <c r="N130" s="8">
        <f t="shared" ref="N130:N193" si="16">DATE(YEAR(H130),MONTH(H130),1)</f>
        <v>45597</v>
      </c>
      <c r="O130" s="49">
        <f t="shared" ref="O130:O193" ca="1" si="17">NOW()</f>
        <v>46317.962422337965</v>
      </c>
    </row>
    <row r="131" spans="1:15" x14ac:dyDescent="0.25">
      <c r="A131" s="48" t="str">
        <f>[1]Dataset!A131</f>
        <v>CUST027</v>
      </c>
      <c r="B131" s="2" t="str">
        <f>[1]Dataset!B131</f>
        <v>James Wilson</v>
      </c>
      <c r="C131" s="2" t="str">
        <f>[1]Dataset!C131</f>
        <v>West</v>
      </c>
      <c r="D131" s="2" t="str">
        <f>[1]Dataset!D131</f>
        <v>Electronics</v>
      </c>
      <c r="E131" s="3">
        <f>[1]Dataset!E131</f>
        <v>258.51</v>
      </c>
      <c r="F131" s="4">
        <f>[1]Dataset!F131</f>
        <v>19</v>
      </c>
      <c r="G131" s="5">
        <f>[1]Dataset!G131</f>
        <v>0</v>
      </c>
      <c r="H131" s="6">
        <f>[1]Dataset!H131</f>
        <v>45616</v>
      </c>
      <c r="I131" s="3">
        <f>[1]Dataset!I131</f>
        <v>64.63</v>
      </c>
      <c r="J131" s="3">
        <f t="shared" si="12"/>
        <v>0</v>
      </c>
      <c r="K131" s="3">
        <f t="shared" si="13"/>
        <v>258.51</v>
      </c>
      <c r="L131" s="7">
        <f t="shared" si="14"/>
        <v>0.25000967080577152</v>
      </c>
      <c r="M131" s="2" t="str">
        <f t="shared" si="15"/>
        <v>Profit</v>
      </c>
      <c r="N131" s="8">
        <f t="shared" si="16"/>
        <v>45597</v>
      </c>
      <c r="O131" s="49">
        <f t="shared" ca="1" si="17"/>
        <v>46317.962422337965</v>
      </c>
    </row>
    <row r="132" spans="1:15" x14ac:dyDescent="0.25">
      <c r="A132" s="48" t="str">
        <f>[1]Dataset!A132</f>
        <v>CUST011</v>
      </c>
      <c r="B132" s="2" t="str">
        <f>[1]Dataset!B132</f>
        <v>Emma Wilson</v>
      </c>
      <c r="C132" s="2" t="str">
        <f>[1]Dataset!C132</f>
        <v>East</v>
      </c>
      <c r="D132" s="2" t="str">
        <f>[1]Dataset!D132</f>
        <v>Books</v>
      </c>
      <c r="E132" s="3">
        <f>[1]Dataset!E132</f>
        <v>1213.48</v>
      </c>
      <c r="F132" s="4">
        <f>[1]Dataset!F132</f>
        <v>5</v>
      </c>
      <c r="G132" s="5">
        <f>[1]Dataset!G132</f>
        <v>0.05</v>
      </c>
      <c r="H132" s="6">
        <f>[1]Dataset!H132</f>
        <v>45616</v>
      </c>
      <c r="I132" s="3">
        <f>[1]Dataset!I132</f>
        <v>461.12</v>
      </c>
      <c r="J132" s="3">
        <f t="shared" si="12"/>
        <v>60.674000000000007</v>
      </c>
      <c r="K132" s="3">
        <f t="shared" si="13"/>
        <v>1152.806</v>
      </c>
      <c r="L132" s="7">
        <f t="shared" si="14"/>
        <v>0.37999802221709461</v>
      </c>
      <c r="M132" s="2" t="str">
        <f t="shared" si="15"/>
        <v>Profit</v>
      </c>
      <c r="N132" s="8">
        <f t="shared" si="16"/>
        <v>45597</v>
      </c>
      <c r="O132" s="49">
        <f t="shared" ca="1" si="17"/>
        <v>46317.962422337965</v>
      </c>
    </row>
    <row r="133" spans="1:15" x14ac:dyDescent="0.25">
      <c r="A133" s="48" t="str">
        <f>[1]Dataset!A133</f>
        <v>CUST021</v>
      </c>
      <c r="B133" s="2" t="str">
        <f>[1]Dataset!B133</f>
        <v>Emma Davis</v>
      </c>
      <c r="C133" s="2" t="str">
        <f>[1]Dataset!C133</f>
        <v>Central</v>
      </c>
      <c r="D133" s="2" t="str">
        <f>[1]Dataset!D133</f>
        <v>Books</v>
      </c>
      <c r="E133" s="3">
        <f>[1]Dataset!E133</f>
        <v>1150.28</v>
      </c>
      <c r="F133" s="4">
        <f>[1]Dataset!F133</f>
        <v>8</v>
      </c>
      <c r="G133" s="5">
        <f>[1]Dataset!G133</f>
        <v>0.05</v>
      </c>
      <c r="H133" s="6">
        <f>[1]Dataset!H133</f>
        <v>45622</v>
      </c>
      <c r="I133" s="3">
        <f>[1]Dataset!I133</f>
        <v>437.11</v>
      </c>
      <c r="J133" s="3">
        <f t="shared" si="12"/>
        <v>57.514000000000003</v>
      </c>
      <c r="K133" s="3">
        <f t="shared" si="13"/>
        <v>1092.7660000000001</v>
      </c>
      <c r="L133" s="7">
        <f t="shared" si="14"/>
        <v>0.38000312967277533</v>
      </c>
      <c r="M133" s="2" t="str">
        <f t="shared" si="15"/>
        <v>Profit</v>
      </c>
      <c r="N133" s="8">
        <f t="shared" si="16"/>
        <v>45597</v>
      </c>
      <c r="O133" s="49">
        <f t="shared" ca="1" si="17"/>
        <v>46317.962422337965</v>
      </c>
    </row>
    <row r="134" spans="1:15" x14ac:dyDescent="0.25">
      <c r="A134" s="48" t="str">
        <f>[1]Dataset!A134</f>
        <v>CUST014</v>
      </c>
      <c r="B134" s="2" t="str">
        <f>[1]Dataset!B134</f>
        <v>David Anderson</v>
      </c>
      <c r="C134" s="2" t="str">
        <f>[1]Dataset!C134</f>
        <v>South</v>
      </c>
      <c r="D134" s="2" t="str">
        <f>[1]Dataset!D134</f>
        <v>Furniture</v>
      </c>
      <c r="E134" s="3">
        <f>[1]Dataset!E134</f>
        <v>853.86</v>
      </c>
      <c r="F134" s="4">
        <f>[1]Dataset!F134</f>
        <v>8</v>
      </c>
      <c r="G134" s="5">
        <f>[1]Dataset!G134</f>
        <v>0.1</v>
      </c>
      <c r="H134" s="6">
        <f>[1]Dataset!H134</f>
        <v>45622</v>
      </c>
      <c r="I134" s="3">
        <f>[1]Dataset!I134</f>
        <v>268.97000000000003</v>
      </c>
      <c r="J134" s="3">
        <f t="shared" si="12"/>
        <v>85.38600000000001</v>
      </c>
      <c r="K134" s="3">
        <f t="shared" si="13"/>
        <v>768.47400000000005</v>
      </c>
      <c r="L134" s="7">
        <f t="shared" si="14"/>
        <v>0.31500480172393602</v>
      </c>
      <c r="M134" s="2" t="str">
        <f t="shared" si="15"/>
        <v>Profit</v>
      </c>
      <c r="N134" s="8">
        <f t="shared" si="16"/>
        <v>45597</v>
      </c>
      <c r="O134" s="49">
        <f t="shared" ca="1" si="17"/>
        <v>46317.962422337965</v>
      </c>
    </row>
    <row r="135" spans="1:15" x14ac:dyDescent="0.25">
      <c r="A135" s="48" t="str">
        <f>[1]Dataset!A135</f>
        <v>CUST018</v>
      </c>
      <c r="B135" s="2" t="str">
        <f>[1]Dataset!B135</f>
        <v>Lisa Thomas</v>
      </c>
      <c r="C135" s="2" t="str">
        <f>[1]Dataset!C135</f>
        <v>South</v>
      </c>
      <c r="D135" s="2" t="str">
        <f>[1]Dataset!D135</f>
        <v>Electronics</v>
      </c>
      <c r="E135" s="3">
        <f>[1]Dataset!E135</f>
        <v>1061.04</v>
      </c>
      <c r="F135" s="4">
        <f>[1]Dataset!F135</f>
        <v>1</v>
      </c>
      <c r="G135" s="5">
        <f>[1]Dataset!G135</f>
        <v>0</v>
      </c>
      <c r="H135" s="6">
        <f>[1]Dataset!H135</f>
        <v>45624</v>
      </c>
      <c r="I135" s="3">
        <f>[1]Dataset!I135</f>
        <v>265.26</v>
      </c>
      <c r="J135" s="3">
        <f t="shared" si="12"/>
        <v>0</v>
      </c>
      <c r="K135" s="3">
        <f t="shared" si="13"/>
        <v>1061.04</v>
      </c>
      <c r="L135" s="7">
        <f t="shared" si="14"/>
        <v>0.25</v>
      </c>
      <c r="M135" s="2" t="str">
        <f t="shared" si="15"/>
        <v>Profit</v>
      </c>
      <c r="N135" s="8">
        <f t="shared" si="16"/>
        <v>45597</v>
      </c>
      <c r="O135" s="49">
        <f t="shared" ca="1" si="17"/>
        <v>46317.962422337965</v>
      </c>
    </row>
    <row r="136" spans="1:15" x14ac:dyDescent="0.25">
      <c r="A136" s="48" t="str">
        <f>[1]Dataset!A136</f>
        <v>CUST001</v>
      </c>
      <c r="B136" s="2" t="str">
        <f>[1]Dataset!B136</f>
        <v>Sarah Anderson</v>
      </c>
      <c r="C136" s="2" t="str">
        <f>[1]Dataset!C136</f>
        <v>West</v>
      </c>
      <c r="D136" s="2" t="str">
        <f>[1]Dataset!D136</f>
        <v>Electronics</v>
      </c>
      <c r="E136" s="3">
        <f>[1]Dataset!E136</f>
        <v>894.55</v>
      </c>
      <c r="F136" s="4">
        <f>[1]Dataset!F136</f>
        <v>19</v>
      </c>
      <c r="G136" s="5">
        <f>[1]Dataset!G136</f>
        <v>0.2</v>
      </c>
      <c r="H136" s="6">
        <f>[1]Dataset!H136</f>
        <v>45625</v>
      </c>
      <c r="I136" s="3">
        <f>[1]Dataset!I136</f>
        <v>178.91</v>
      </c>
      <c r="J136" s="3">
        <f t="shared" si="12"/>
        <v>178.91</v>
      </c>
      <c r="K136" s="3">
        <f t="shared" si="13"/>
        <v>715.64</v>
      </c>
      <c r="L136" s="7">
        <f t="shared" si="14"/>
        <v>0.2</v>
      </c>
      <c r="M136" s="2" t="str">
        <f t="shared" si="15"/>
        <v>Profit</v>
      </c>
      <c r="N136" s="8">
        <f t="shared" si="16"/>
        <v>45597</v>
      </c>
      <c r="O136" s="49">
        <f t="shared" ca="1" si="17"/>
        <v>46317.962422337965</v>
      </c>
    </row>
    <row r="137" spans="1:15" x14ac:dyDescent="0.25">
      <c r="A137" s="48" t="str">
        <f>[1]Dataset!A137</f>
        <v>CUST007</v>
      </c>
      <c r="B137" s="2" t="str">
        <f>[1]Dataset!B137</f>
        <v>Emma Davis</v>
      </c>
      <c r="C137" s="2" t="str">
        <f>[1]Dataset!C137</f>
        <v>North</v>
      </c>
      <c r="D137" s="2" t="str">
        <f>[1]Dataset!D137</f>
        <v>Office Supplies</v>
      </c>
      <c r="E137" s="3">
        <f>[1]Dataset!E137</f>
        <v>833.91</v>
      </c>
      <c r="F137" s="4">
        <f>[1]Dataset!F137</f>
        <v>3</v>
      </c>
      <c r="G137" s="5">
        <f>[1]Dataset!G137</f>
        <v>0.05</v>
      </c>
      <c r="H137" s="6">
        <f>[1]Dataset!H137</f>
        <v>45626</v>
      </c>
      <c r="I137" s="3">
        <f>[1]Dataset!I137</f>
        <v>356.5</v>
      </c>
      <c r="J137" s="3">
        <f t="shared" si="12"/>
        <v>41.695500000000003</v>
      </c>
      <c r="K137" s="3">
        <f t="shared" si="13"/>
        <v>792.21449999999993</v>
      </c>
      <c r="L137" s="7">
        <f t="shared" si="14"/>
        <v>0.42750416711635547</v>
      </c>
      <c r="M137" s="2" t="str">
        <f t="shared" si="15"/>
        <v>Profit</v>
      </c>
      <c r="N137" s="8">
        <f t="shared" si="16"/>
        <v>45597</v>
      </c>
      <c r="O137" s="49">
        <f t="shared" ca="1" si="17"/>
        <v>46317.962422337965</v>
      </c>
    </row>
    <row r="138" spans="1:15" x14ac:dyDescent="0.25">
      <c r="A138" s="48" t="str">
        <f>[1]Dataset!A138</f>
        <v>CUST015</v>
      </c>
      <c r="B138" s="2" t="str">
        <f>[1]Dataset!B138</f>
        <v>David Anderson</v>
      </c>
      <c r="C138" s="2" t="str">
        <f>[1]Dataset!C138</f>
        <v>West</v>
      </c>
      <c r="D138" s="2" t="str">
        <f>[1]Dataset!D138</f>
        <v>Furniture</v>
      </c>
      <c r="E138" s="3">
        <f>[1]Dataset!E138</f>
        <v>820.19</v>
      </c>
      <c r="F138" s="4">
        <f>[1]Dataset!F138</f>
        <v>4</v>
      </c>
      <c r="G138" s="5">
        <f>[1]Dataset!G138</f>
        <v>0.2</v>
      </c>
      <c r="H138" s="6">
        <f>[1]Dataset!H138</f>
        <v>45630</v>
      </c>
      <c r="I138" s="3">
        <f>[1]Dataset!I138</f>
        <v>229.65</v>
      </c>
      <c r="J138" s="3">
        <f t="shared" si="12"/>
        <v>164.03800000000001</v>
      </c>
      <c r="K138" s="3">
        <f t="shared" si="13"/>
        <v>656.15200000000004</v>
      </c>
      <c r="L138" s="7">
        <f t="shared" si="14"/>
        <v>0.2799960984649898</v>
      </c>
      <c r="M138" s="2" t="str">
        <f t="shared" si="15"/>
        <v>Profit</v>
      </c>
      <c r="N138" s="8">
        <f t="shared" si="16"/>
        <v>45627</v>
      </c>
      <c r="O138" s="49">
        <f t="shared" ca="1" si="17"/>
        <v>46317.962422337965</v>
      </c>
    </row>
    <row r="139" spans="1:15" x14ac:dyDescent="0.25">
      <c r="A139" s="48" t="str">
        <f>[1]Dataset!A139</f>
        <v>CUST015</v>
      </c>
      <c r="B139" s="2" t="str">
        <f>[1]Dataset!B139</f>
        <v>Emma Davis</v>
      </c>
      <c r="C139" s="2" t="str">
        <f>[1]Dataset!C139</f>
        <v>Central</v>
      </c>
      <c r="D139" s="2" t="str">
        <f>[1]Dataset!D139</f>
        <v>Electronics</v>
      </c>
      <c r="E139" s="3">
        <f>[1]Dataset!E139</f>
        <v>511.74</v>
      </c>
      <c r="F139" s="4">
        <f>[1]Dataset!F139</f>
        <v>8</v>
      </c>
      <c r="G139" s="5">
        <f>[1]Dataset!G139</f>
        <v>0.05</v>
      </c>
      <c r="H139" s="6">
        <f>[1]Dataset!H139</f>
        <v>45631</v>
      </c>
      <c r="I139" s="3">
        <f>[1]Dataset!I139</f>
        <v>121.54</v>
      </c>
      <c r="J139" s="3">
        <f t="shared" si="12"/>
        <v>25.587000000000003</v>
      </c>
      <c r="K139" s="3">
        <f t="shared" si="13"/>
        <v>486.15300000000002</v>
      </c>
      <c r="L139" s="7">
        <f t="shared" si="14"/>
        <v>0.2375034197053191</v>
      </c>
      <c r="M139" s="2" t="str">
        <f t="shared" si="15"/>
        <v>Profit</v>
      </c>
      <c r="N139" s="8">
        <f t="shared" si="16"/>
        <v>45627</v>
      </c>
      <c r="O139" s="49">
        <f t="shared" ca="1" si="17"/>
        <v>46317.962422337965</v>
      </c>
    </row>
    <row r="140" spans="1:15" x14ac:dyDescent="0.25">
      <c r="A140" s="48" t="str">
        <f>[1]Dataset!A140</f>
        <v>CUST002</v>
      </c>
      <c r="B140" s="2" t="str">
        <f>[1]Dataset!B140</f>
        <v>Emma Wilson</v>
      </c>
      <c r="C140" s="2" t="str">
        <f>[1]Dataset!C140</f>
        <v>South</v>
      </c>
      <c r="D140" s="2" t="str">
        <f>[1]Dataset!D140</f>
        <v>Furniture</v>
      </c>
      <c r="E140" s="3">
        <f>[1]Dataset!E140</f>
        <v>806.03</v>
      </c>
      <c r="F140" s="4">
        <f>[1]Dataset!F140</f>
        <v>19</v>
      </c>
      <c r="G140" s="5">
        <f>[1]Dataset!G140</f>
        <v>0.05</v>
      </c>
      <c r="H140" s="6">
        <f>[1]Dataset!H140</f>
        <v>45638</v>
      </c>
      <c r="I140" s="3">
        <f>[1]Dataset!I140</f>
        <v>268</v>
      </c>
      <c r="J140" s="3">
        <f t="shared" si="12"/>
        <v>40.301500000000004</v>
      </c>
      <c r="K140" s="3">
        <f t="shared" si="13"/>
        <v>765.72849999999994</v>
      </c>
      <c r="L140" s="7">
        <f t="shared" si="14"/>
        <v>0.33249382777315983</v>
      </c>
      <c r="M140" s="2" t="str">
        <f t="shared" si="15"/>
        <v>Profit</v>
      </c>
      <c r="N140" s="8">
        <f t="shared" si="16"/>
        <v>45627</v>
      </c>
      <c r="O140" s="49">
        <f t="shared" ca="1" si="17"/>
        <v>46317.962422337965</v>
      </c>
    </row>
    <row r="141" spans="1:15" x14ac:dyDescent="0.25">
      <c r="A141" s="48" t="str">
        <f>[1]Dataset!A141</f>
        <v>CUST001</v>
      </c>
      <c r="B141" s="2" t="str">
        <f>[1]Dataset!B141</f>
        <v>Michael Anderson</v>
      </c>
      <c r="C141" s="2" t="str">
        <f>[1]Dataset!C141</f>
        <v>Central</v>
      </c>
      <c r="D141" s="2" t="str">
        <f>[1]Dataset!D141</f>
        <v>Furniture</v>
      </c>
      <c r="E141" s="3">
        <f>[1]Dataset!E141</f>
        <v>1432.47</v>
      </c>
      <c r="F141" s="4">
        <f>[1]Dataset!F141</f>
        <v>16</v>
      </c>
      <c r="G141" s="5">
        <f>[1]Dataset!G141</f>
        <v>0.15</v>
      </c>
      <c r="H141" s="6">
        <f>[1]Dataset!H141</f>
        <v>45640</v>
      </c>
      <c r="I141" s="3">
        <f>[1]Dataset!I141</f>
        <v>426.16</v>
      </c>
      <c r="J141" s="3">
        <f t="shared" si="12"/>
        <v>214.87049999999999</v>
      </c>
      <c r="K141" s="3">
        <f t="shared" si="13"/>
        <v>1217.5995</v>
      </c>
      <c r="L141" s="7">
        <f t="shared" si="14"/>
        <v>0.29750012216660732</v>
      </c>
      <c r="M141" s="2" t="str">
        <f t="shared" si="15"/>
        <v>Profit</v>
      </c>
      <c r="N141" s="8">
        <f t="shared" si="16"/>
        <v>45627</v>
      </c>
      <c r="O141" s="49">
        <f t="shared" ca="1" si="17"/>
        <v>46317.962422337965</v>
      </c>
    </row>
    <row r="142" spans="1:15" x14ac:dyDescent="0.25">
      <c r="A142" s="48" t="str">
        <f>[1]Dataset!A142</f>
        <v>CUST027</v>
      </c>
      <c r="B142" s="2" t="str">
        <f>[1]Dataset!B142</f>
        <v>Linda Wilson</v>
      </c>
      <c r="C142" s="2" t="str">
        <f>[1]Dataset!C142</f>
        <v>Central</v>
      </c>
      <c r="D142" s="2" t="str">
        <f>[1]Dataset!D142</f>
        <v>Electronics</v>
      </c>
      <c r="E142" s="3">
        <f>[1]Dataset!E142</f>
        <v>1488.58</v>
      </c>
      <c r="F142" s="4">
        <f>[1]Dataset!F142</f>
        <v>10</v>
      </c>
      <c r="G142" s="5">
        <f>[1]Dataset!G142</f>
        <v>0.15</v>
      </c>
      <c r="H142" s="6">
        <f>[1]Dataset!H142</f>
        <v>45640</v>
      </c>
      <c r="I142" s="3">
        <f>[1]Dataset!I142</f>
        <v>316.32</v>
      </c>
      <c r="J142" s="3">
        <f t="shared" si="12"/>
        <v>223.28699999999998</v>
      </c>
      <c r="K142" s="3">
        <f t="shared" si="13"/>
        <v>1265.2929999999999</v>
      </c>
      <c r="L142" s="7">
        <f t="shared" si="14"/>
        <v>0.21249781671122817</v>
      </c>
      <c r="M142" s="2" t="str">
        <f t="shared" si="15"/>
        <v>Profit</v>
      </c>
      <c r="N142" s="8">
        <f t="shared" si="16"/>
        <v>45627</v>
      </c>
      <c r="O142" s="49">
        <f t="shared" ca="1" si="17"/>
        <v>46317.962422337965</v>
      </c>
    </row>
    <row r="143" spans="1:15" x14ac:dyDescent="0.25">
      <c r="A143" s="48" t="str">
        <f>[1]Dataset!A143</f>
        <v>CUST026</v>
      </c>
      <c r="B143" s="2" t="str">
        <f>[1]Dataset!B143</f>
        <v>Emma Taylor</v>
      </c>
      <c r="C143" s="2" t="str">
        <f>[1]Dataset!C143</f>
        <v>East</v>
      </c>
      <c r="D143" s="2" t="str">
        <f>[1]Dataset!D143</f>
        <v>Books</v>
      </c>
      <c r="E143" s="3">
        <f>[1]Dataset!E143</f>
        <v>1231.26</v>
      </c>
      <c r="F143" s="4">
        <f>[1]Dataset!F143</f>
        <v>9</v>
      </c>
      <c r="G143" s="5">
        <f>[1]Dataset!G143</f>
        <v>0</v>
      </c>
      <c r="H143" s="6">
        <f>[1]Dataset!H143</f>
        <v>45646</v>
      </c>
      <c r="I143" s="3">
        <f>[1]Dataset!I143</f>
        <v>492.5</v>
      </c>
      <c r="J143" s="3">
        <f t="shared" si="12"/>
        <v>0</v>
      </c>
      <c r="K143" s="3">
        <f t="shared" si="13"/>
        <v>1231.26</v>
      </c>
      <c r="L143" s="7">
        <f t="shared" si="14"/>
        <v>0.39999675129542095</v>
      </c>
      <c r="M143" s="2" t="str">
        <f t="shared" si="15"/>
        <v>Profit</v>
      </c>
      <c r="N143" s="8">
        <f t="shared" si="16"/>
        <v>45627</v>
      </c>
      <c r="O143" s="49">
        <f t="shared" ca="1" si="17"/>
        <v>46317.962422337965</v>
      </c>
    </row>
    <row r="144" spans="1:15" x14ac:dyDescent="0.25">
      <c r="A144" s="48" t="str">
        <f>[1]Dataset!A144</f>
        <v>CUST026</v>
      </c>
      <c r="B144" s="2" t="str">
        <f>[1]Dataset!B144</f>
        <v>Sarah Anderson</v>
      </c>
      <c r="C144" s="2" t="str">
        <f>[1]Dataset!C144</f>
        <v>West</v>
      </c>
      <c r="D144" s="2" t="str">
        <f>[1]Dataset!D144</f>
        <v>Electronics</v>
      </c>
      <c r="E144" s="3">
        <f>[1]Dataset!E144</f>
        <v>1161.67</v>
      </c>
      <c r="F144" s="4">
        <f>[1]Dataset!F144</f>
        <v>19</v>
      </c>
      <c r="G144" s="5">
        <f>[1]Dataset!G144</f>
        <v>0.2</v>
      </c>
      <c r="H144" s="6">
        <f>[1]Dataset!H144</f>
        <v>45647</v>
      </c>
      <c r="I144" s="3">
        <f>[1]Dataset!I144</f>
        <v>232.33</v>
      </c>
      <c r="J144" s="3">
        <f t="shared" si="12"/>
        <v>232.33400000000003</v>
      </c>
      <c r="K144" s="3">
        <f t="shared" si="13"/>
        <v>929.33600000000001</v>
      </c>
      <c r="L144" s="7">
        <f t="shared" si="14"/>
        <v>0.19999655668132946</v>
      </c>
      <c r="M144" s="2" t="str">
        <f t="shared" si="15"/>
        <v>Profit</v>
      </c>
      <c r="N144" s="8">
        <f t="shared" si="16"/>
        <v>45627</v>
      </c>
      <c r="O144" s="49">
        <f t="shared" ca="1" si="17"/>
        <v>46317.962422337965</v>
      </c>
    </row>
    <row r="145" spans="1:15" x14ac:dyDescent="0.25">
      <c r="A145" s="48" t="str">
        <f>[1]Dataset!A145</f>
        <v>CUST022</v>
      </c>
      <c r="B145" s="2" t="str">
        <f>[1]Dataset!B145</f>
        <v>Lisa Thomas</v>
      </c>
      <c r="C145" s="2" t="str">
        <f>[1]Dataset!C145</f>
        <v>Central</v>
      </c>
      <c r="D145" s="2" t="str">
        <f>[1]Dataset!D145</f>
        <v>Office Supplies</v>
      </c>
      <c r="E145" s="3">
        <f>[1]Dataset!E145</f>
        <v>388.23</v>
      </c>
      <c r="F145" s="4">
        <f>[1]Dataset!F145</f>
        <v>16</v>
      </c>
      <c r="G145" s="5">
        <f>[1]Dataset!G145</f>
        <v>0.05</v>
      </c>
      <c r="H145" s="6">
        <f>[1]Dataset!H145</f>
        <v>45650</v>
      </c>
      <c r="I145" s="3">
        <f>[1]Dataset!I145</f>
        <v>165.97</v>
      </c>
      <c r="J145" s="3">
        <f t="shared" si="12"/>
        <v>19.411500000000004</v>
      </c>
      <c r="K145" s="3">
        <f t="shared" si="13"/>
        <v>368.81850000000003</v>
      </c>
      <c r="L145" s="7">
        <f t="shared" si="14"/>
        <v>0.42750431445277282</v>
      </c>
      <c r="M145" s="2" t="str">
        <f t="shared" si="15"/>
        <v>Profit</v>
      </c>
      <c r="N145" s="8">
        <f t="shared" si="16"/>
        <v>45627</v>
      </c>
      <c r="O145" s="49">
        <f t="shared" ca="1" si="17"/>
        <v>46317.962422337965</v>
      </c>
    </row>
    <row r="146" spans="1:15" x14ac:dyDescent="0.25">
      <c r="A146" s="48" t="str">
        <f>[1]Dataset!A146</f>
        <v>CUST004</v>
      </c>
      <c r="B146" s="2" t="str">
        <f>[1]Dataset!B146</f>
        <v>Mary Davis</v>
      </c>
      <c r="C146" s="2" t="str">
        <f>[1]Dataset!C146</f>
        <v>North</v>
      </c>
      <c r="D146" s="2" t="str">
        <f>[1]Dataset!D146</f>
        <v>Clothing</v>
      </c>
      <c r="E146" s="3">
        <f>[1]Dataset!E146</f>
        <v>1589.42</v>
      </c>
      <c r="F146" s="4">
        <f>[1]Dataset!F146</f>
        <v>6</v>
      </c>
      <c r="G146" s="5">
        <f>[1]Dataset!G146</f>
        <v>0.15</v>
      </c>
      <c r="H146" s="6">
        <f>[1]Dataset!H146</f>
        <v>45651</v>
      </c>
      <c r="I146" s="3">
        <f>[1]Dataset!I146</f>
        <v>675.5</v>
      </c>
      <c r="J146" s="3">
        <f t="shared" si="12"/>
        <v>238.41300000000001</v>
      </c>
      <c r="K146" s="3">
        <f t="shared" si="13"/>
        <v>1351.0070000000001</v>
      </c>
      <c r="L146" s="7">
        <f t="shared" si="14"/>
        <v>0.42499779793887077</v>
      </c>
      <c r="M146" s="2" t="str">
        <f t="shared" si="15"/>
        <v>Profit</v>
      </c>
      <c r="N146" s="8">
        <f t="shared" si="16"/>
        <v>45627</v>
      </c>
      <c r="O146" s="49">
        <f t="shared" ca="1" si="17"/>
        <v>46317.962422337965</v>
      </c>
    </row>
    <row r="147" spans="1:15" x14ac:dyDescent="0.25">
      <c r="A147" s="48" t="str">
        <f>[1]Dataset!A147</f>
        <v>CUST001</v>
      </c>
      <c r="B147" s="2" t="str">
        <f>[1]Dataset!B147</f>
        <v>David Anderson</v>
      </c>
      <c r="C147" s="2" t="str">
        <f>[1]Dataset!C147</f>
        <v>North</v>
      </c>
      <c r="D147" s="2" t="str">
        <f>[1]Dataset!D147</f>
        <v>Clothing</v>
      </c>
      <c r="E147" s="3">
        <f>[1]Dataset!E147</f>
        <v>336.66</v>
      </c>
      <c r="F147" s="4">
        <f>[1]Dataset!F147</f>
        <v>13</v>
      </c>
      <c r="G147" s="5">
        <f>[1]Dataset!G147</f>
        <v>0.2</v>
      </c>
      <c r="H147" s="6">
        <f>[1]Dataset!H147</f>
        <v>45651</v>
      </c>
      <c r="I147" s="3">
        <f>[1]Dataset!I147</f>
        <v>134.66</v>
      </c>
      <c r="J147" s="3">
        <f t="shared" si="12"/>
        <v>67.332000000000008</v>
      </c>
      <c r="K147" s="3">
        <f t="shared" si="13"/>
        <v>269.32800000000003</v>
      </c>
      <c r="L147" s="7">
        <f t="shared" si="14"/>
        <v>0.39998811857660543</v>
      </c>
      <c r="M147" s="2" t="str">
        <f t="shared" si="15"/>
        <v>Profit</v>
      </c>
      <c r="N147" s="8">
        <f t="shared" si="16"/>
        <v>45627</v>
      </c>
      <c r="O147" s="49">
        <f t="shared" ca="1" si="17"/>
        <v>46317.962422337965</v>
      </c>
    </row>
    <row r="148" spans="1:15" x14ac:dyDescent="0.25">
      <c r="A148" s="48" t="str">
        <f>[1]Dataset!A148</f>
        <v>CUST022</v>
      </c>
      <c r="B148" s="2" t="str">
        <f>[1]Dataset!B148</f>
        <v>James Wilson</v>
      </c>
      <c r="C148" s="2" t="str">
        <f>[1]Dataset!C148</f>
        <v>West</v>
      </c>
      <c r="D148" s="2" t="str">
        <f>[1]Dataset!D148</f>
        <v>Books</v>
      </c>
      <c r="E148" s="3">
        <f>[1]Dataset!E148</f>
        <v>1353.79</v>
      </c>
      <c r="F148" s="4">
        <f>[1]Dataset!F148</f>
        <v>14</v>
      </c>
      <c r="G148" s="5">
        <f>[1]Dataset!G148</f>
        <v>0.1</v>
      </c>
      <c r="H148" s="6">
        <f>[1]Dataset!H148</f>
        <v>45656</v>
      </c>
      <c r="I148" s="3">
        <f>[1]Dataset!I148</f>
        <v>487.36</v>
      </c>
      <c r="J148" s="3">
        <f t="shared" si="12"/>
        <v>135.37899999999999</v>
      </c>
      <c r="K148" s="3">
        <f t="shared" si="13"/>
        <v>1218.4110000000001</v>
      </c>
      <c r="L148" s="7">
        <f t="shared" si="14"/>
        <v>0.35999674986519331</v>
      </c>
      <c r="M148" s="2" t="str">
        <f t="shared" si="15"/>
        <v>Profit</v>
      </c>
      <c r="N148" s="8">
        <f t="shared" si="16"/>
        <v>45627</v>
      </c>
      <c r="O148" s="49">
        <f t="shared" ca="1" si="17"/>
        <v>46317.962422337965</v>
      </c>
    </row>
    <row r="149" spans="1:15" x14ac:dyDescent="0.25">
      <c r="A149" s="48" t="str">
        <f>[1]Dataset!A149</f>
        <v>CUST011</v>
      </c>
      <c r="B149" s="2" t="str">
        <f>[1]Dataset!B149</f>
        <v>Linda Moore</v>
      </c>
      <c r="C149" s="2" t="str">
        <f>[1]Dataset!C149</f>
        <v>Central</v>
      </c>
      <c r="D149" s="2" t="str">
        <f>[1]Dataset!D149</f>
        <v>Clothing</v>
      </c>
      <c r="E149" s="3">
        <f>[1]Dataset!E149</f>
        <v>662.61</v>
      </c>
      <c r="F149" s="4">
        <f>[1]Dataset!F149</f>
        <v>11</v>
      </c>
      <c r="G149" s="5">
        <f>[1]Dataset!G149</f>
        <v>0.05</v>
      </c>
      <c r="H149" s="6">
        <f>[1]Dataset!H149</f>
        <v>45658</v>
      </c>
      <c r="I149" s="3">
        <f>[1]Dataset!I149</f>
        <v>314.74</v>
      </c>
      <c r="J149" s="3">
        <f t="shared" si="12"/>
        <v>33.130500000000005</v>
      </c>
      <c r="K149" s="3">
        <f t="shared" si="13"/>
        <v>629.47950000000003</v>
      </c>
      <c r="L149" s="7">
        <f t="shared" si="14"/>
        <v>0.47500037729584521</v>
      </c>
      <c r="M149" s="2" t="str">
        <f t="shared" si="15"/>
        <v>Profit</v>
      </c>
      <c r="N149" s="8">
        <f t="shared" si="16"/>
        <v>45658</v>
      </c>
      <c r="O149" s="49">
        <f t="shared" ca="1" si="17"/>
        <v>46317.962422337965</v>
      </c>
    </row>
    <row r="150" spans="1:15" x14ac:dyDescent="0.25">
      <c r="A150" s="48" t="str">
        <f>[1]Dataset!A150</f>
        <v>CUST028</v>
      </c>
      <c r="B150" s="2" t="str">
        <f>[1]Dataset!B150</f>
        <v>Lisa Davis</v>
      </c>
      <c r="C150" s="2" t="str">
        <f>[1]Dataset!C150</f>
        <v>North</v>
      </c>
      <c r="D150" s="2" t="str">
        <f>[1]Dataset!D150</f>
        <v>Office Supplies</v>
      </c>
      <c r="E150" s="3">
        <f>[1]Dataset!E150</f>
        <v>309.42</v>
      </c>
      <c r="F150" s="4">
        <f>[1]Dataset!F150</f>
        <v>1</v>
      </c>
      <c r="G150" s="5">
        <f>[1]Dataset!G150</f>
        <v>0.2</v>
      </c>
      <c r="H150" s="6">
        <f>[1]Dataset!H150</f>
        <v>45658</v>
      </c>
      <c r="I150" s="3">
        <f>[1]Dataset!I150</f>
        <v>111.39</v>
      </c>
      <c r="J150" s="3">
        <f t="shared" si="12"/>
        <v>61.884000000000007</v>
      </c>
      <c r="K150" s="3">
        <f t="shared" si="13"/>
        <v>247.536</v>
      </c>
      <c r="L150" s="7">
        <f t="shared" si="14"/>
        <v>0.35999612177622647</v>
      </c>
      <c r="M150" s="2" t="str">
        <f t="shared" si="15"/>
        <v>Profit</v>
      </c>
      <c r="N150" s="8">
        <f t="shared" si="16"/>
        <v>45658</v>
      </c>
      <c r="O150" s="49">
        <f t="shared" ca="1" si="17"/>
        <v>46317.962422337965</v>
      </c>
    </row>
    <row r="151" spans="1:15" x14ac:dyDescent="0.25">
      <c r="A151" s="48" t="str">
        <f>[1]Dataset!A151</f>
        <v>CUST011</v>
      </c>
      <c r="B151" s="2" t="str">
        <f>[1]Dataset!B151</f>
        <v>Linda Wilson</v>
      </c>
      <c r="C151" s="2" t="str">
        <f>[1]Dataset!C151</f>
        <v>North</v>
      </c>
      <c r="D151" s="2" t="str">
        <f>[1]Dataset!D151</f>
        <v>Books</v>
      </c>
      <c r="E151" s="3">
        <f>[1]Dataset!E151</f>
        <v>884.63</v>
      </c>
      <c r="F151" s="4">
        <f>[1]Dataset!F151</f>
        <v>18</v>
      </c>
      <c r="G151" s="5">
        <f>[1]Dataset!G151</f>
        <v>0.1</v>
      </c>
      <c r="H151" s="6">
        <f>[1]Dataset!H151</f>
        <v>45659</v>
      </c>
      <c r="I151" s="3">
        <f>[1]Dataset!I151</f>
        <v>318.47000000000003</v>
      </c>
      <c r="J151" s="3">
        <f t="shared" si="12"/>
        <v>88.463000000000008</v>
      </c>
      <c r="K151" s="3">
        <f t="shared" si="13"/>
        <v>796.16700000000003</v>
      </c>
      <c r="L151" s="7">
        <f t="shared" si="14"/>
        <v>0.36000361733153979</v>
      </c>
      <c r="M151" s="2" t="str">
        <f t="shared" si="15"/>
        <v>Profit</v>
      </c>
      <c r="N151" s="8">
        <f t="shared" si="16"/>
        <v>45658</v>
      </c>
      <c r="O151" s="49">
        <f t="shared" ca="1" si="17"/>
        <v>46317.962422337965</v>
      </c>
    </row>
    <row r="152" spans="1:15" x14ac:dyDescent="0.25">
      <c r="A152" s="48" t="str">
        <f>[1]Dataset!A152</f>
        <v>CUST028</v>
      </c>
      <c r="B152" s="2" t="str">
        <f>[1]Dataset!B152</f>
        <v>James Wilson</v>
      </c>
      <c r="C152" s="2" t="str">
        <f>[1]Dataset!C152</f>
        <v>Central</v>
      </c>
      <c r="D152" s="2" t="str">
        <f>[1]Dataset!D152</f>
        <v>Office Supplies</v>
      </c>
      <c r="E152" s="3">
        <f>[1]Dataset!E152</f>
        <v>745.05</v>
      </c>
      <c r="F152" s="4">
        <f>[1]Dataset!F152</f>
        <v>10</v>
      </c>
      <c r="G152" s="5">
        <f>[1]Dataset!G152</f>
        <v>0.1</v>
      </c>
      <c r="H152" s="6">
        <f>[1]Dataset!H152</f>
        <v>45660</v>
      </c>
      <c r="I152" s="3">
        <f>[1]Dataset!I152</f>
        <v>301.75</v>
      </c>
      <c r="J152" s="3">
        <f t="shared" si="12"/>
        <v>74.504999999999995</v>
      </c>
      <c r="K152" s="3">
        <f t="shared" si="13"/>
        <v>670.54499999999996</v>
      </c>
      <c r="L152" s="7">
        <f t="shared" si="14"/>
        <v>0.40500637541104628</v>
      </c>
      <c r="M152" s="2" t="str">
        <f t="shared" si="15"/>
        <v>Profit</v>
      </c>
      <c r="N152" s="8">
        <f t="shared" si="16"/>
        <v>45658</v>
      </c>
      <c r="O152" s="49">
        <f t="shared" ca="1" si="17"/>
        <v>46317.962422337965</v>
      </c>
    </row>
    <row r="153" spans="1:15" x14ac:dyDescent="0.25">
      <c r="A153" s="48" t="str">
        <f>[1]Dataset!A153</f>
        <v>CUST016</v>
      </c>
      <c r="B153" s="2" t="str">
        <f>[1]Dataset!B153</f>
        <v>James Taylor</v>
      </c>
      <c r="C153" s="2" t="str">
        <f>[1]Dataset!C153</f>
        <v>South</v>
      </c>
      <c r="D153" s="2" t="str">
        <f>[1]Dataset!D153</f>
        <v>Clothing</v>
      </c>
      <c r="E153" s="3">
        <f>[1]Dataset!E153</f>
        <v>870.23</v>
      </c>
      <c r="F153" s="4">
        <f>[1]Dataset!F153</f>
        <v>5</v>
      </c>
      <c r="G153" s="5">
        <f>[1]Dataset!G153</f>
        <v>0.05</v>
      </c>
      <c r="H153" s="6">
        <f>[1]Dataset!H153</f>
        <v>45660</v>
      </c>
      <c r="I153" s="3">
        <f>[1]Dataset!I153</f>
        <v>413.36</v>
      </c>
      <c r="J153" s="3">
        <f t="shared" si="12"/>
        <v>43.511500000000005</v>
      </c>
      <c r="K153" s="3">
        <f t="shared" si="13"/>
        <v>826.71850000000006</v>
      </c>
      <c r="L153" s="7">
        <f t="shared" si="14"/>
        <v>0.47500086184112245</v>
      </c>
      <c r="M153" s="2" t="str">
        <f t="shared" si="15"/>
        <v>Profit</v>
      </c>
      <c r="N153" s="8">
        <f t="shared" si="16"/>
        <v>45658</v>
      </c>
      <c r="O153" s="49">
        <f t="shared" ca="1" si="17"/>
        <v>46317.962422337965</v>
      </c>
    </row>
    <row r="154" spans="1:15" x14ac:dyDescent="0.25">
      <c r="A154" s="48" t="str">
        <f>[1]Dataset!A154</f>
        <v>CUST010</v>
      </c>
      <c r="B154" s="2" t="str">
        <f>[1]Dataset!B154</f>
        <v>Linda Wilson</v>
      </c>
      <c r="C154" s="2" t="str">
        <f>[1]Dataset!C154</f>
        <v>West</v>
      </c>
      <c r="D154" s="2" t="str">
        <f>[1]Dataset!D154</f>
        <v>Furniture</v>
      </c>
      <c r="E154" s="3">
        <f>[1]Dataset!E154</f>
        <v>862.19</v>
      </c>
      <c r="F154" s="4">
        <f>[1]Dataset!F154</f>
        <v>18</v>
      </c>
      <c r="G154" s="5">
        <f>[1]Dataset!G154</f>
        <v>0.05</v>
      </c>
      <c r="H154" s="6">
        <f>[1]Dataset!H154</f>
        <v>45663</v>
      </c>
      <c r="I154" s="3">
        <f>[1]Dataset!I154</f>
        <v>286.68</v>
      </c>
      <c r="J154" s="3">
        <f t="shared" si="12"/>
        <v>43.109500000000004</v>
      </c>
      <c r="K154" s="3">
        <f t="shared" si="13"/>
        <v>819.08050000000003</v>
      </c>
      <c r="L154" s="7">
        <f t="shared" si="14"/>
        <v>0.33250211670281493</v>
      </c>
      <c r="M154" s="2" t="str">
        <f t="shared" si="15"/>
        <v>Profit</v>
      </c>
      <c r="N154" s="8">
        <f t="shared" si="16"/>
        <v>45658</v>
      </c>
      <c r="O154" s="49">
        <f t="shared" ca="1" si="17"/>
        <v>46317.962422337965</v>
      </c>
    </row>
    <row r="155" spans="1:15" x14ac:dyDescent="0.25">
      <c r="A155" s="48" t="str">
        <f>[1]Dataset!A155</f>
        <v>CUST013</v>
      </c>
      <c r="B155" s="2" t="str">
        <f>[1]Dataset!B155</f>
        <v>Mary Wilson</v>
      </c>
      <c r="C155" s="2" t="str">
        <f>[1]Dataset!C155</f>
        <v>North</v>
      </c>
      <c r="D155" s="2" t="str">
        <f>[1]Dataset!D155</f>
        <v>Clothing</v>
      </c>
      <c r="E155" s="3">
        <f>[1]Dataset!E155</f>
        <v>1171.18</v>
      </c>
      <c r="F155" s="4">
        <f>[1]Dataset!F155</f>
        <v>19</v>
      </c>
      <c r="G155" s="5">
        <f>[1]Dataset!G155</f>
        <v>0.05</v>
      </c>
      <c r="H155" s="6">
        <f>[1]Dataset!H155</f>
        <v>45667</v>
      </c>
      <c r="I155" s="3">
        <f>[1]Dataset!I155</f>
        <v>556.30999999999995</v>
      </c>
      <c r="J155" s="3">
        <f t="shared" si="12"/>
        <v>58.559000000000005</v>
      </c>
      <c r="K155" s="3">
        <f t="shared" si="13"/>
        <v>1112.6210000000001</v>
      </c>
      <c r="L155" s="7">
        <f t="shared" si="14"/>
        <v>0.47499957308014135</v>
      </c>
      <c r="M155" s="2" t="str">
        <f t="shared" si="15"/>
        <v>Profit</v>
      </c>
      <c r="N155" s="8">
        <f t="shared" si="16"/>
        <v>45658</v>
      </c>
      <c r="O155" s="49">
        <f t="shared" ca="1" si="17"/>
        <v>46317.962422337965</v>
      </c>
    </row>
    <row r="156" spans="1:15" x14ac:dyDescent="0.25">
      <c r="A156" s="48" t="str">
        <f>[1]Dataset!A156</f>
        <v>CUST015</v>
      </c>
      <c r="B156" s="2" t="str">
        <f>[1]Dataset!B156</f>
        <v>Robert Anderson</v>
      </c>
      <c r="C156" s="2" t="str">
        <f>[1]Dataset!C156</f>
        <v>South</v>
      </c>
      <c r="D156" s="2" t="str">
        <f>[1]Dataset!D156</f>
        <v>Furniture</v>
      </c>
      <c r="E156" s="3">
        <f>[1]Dataset!E156</f>
        <v>1054.56</v>
      </c>
      <c r="F156" s="4">
        <f>[1]Dataset!F156</f>
        <v>11</v>
      </c>
      <c r="G156" s="5">
        <f>[1]Dataset!G156</f>
        <v>0.1</v>
      </c>
      <c r="H156" s="6">
        <f>[1]Dataset!H156</f>
        <v>45669</v>
      </c>
      <c r="I156" s="3">
        <f>[1]Dataset!I156</f>
        <v>332.19</v>
      </c>
      <c r="J156" s="3">
        <f t="shared" si="12"/>
        <v>105.456</v>
      </c>
      <c r="K156" s="3">
        <f t="shared" si="13"/>
        <v>949.10399999999993</v>
      </c>
      <c r="L156" s="7">
        <f t="shared" si="14"/>
        <v>0.31500341374601731</v>
      </c>
      <c r="M156" s="2" t="str">
        <f t="shared" si="15"/>
        <v>Profit</v>
      </c>
      <c r="N156" s="8">
        <f t="shared" si="16"/>
        <v>45658</v>
      </c>
      <c r="O156" s="49">
        <f t="shared" ca="1" si="17"/>
        <v>46317.962422337965</v>
      </c>
    </row>
    <row r="157" spans="1:15" x14ac:dyDescent="0.25">
      <c r="A157" s="48" t="str">
        <f>[1]Dataset!A157</f>
        <v>CUST015</v>
      </c>
      <c r="B157" s="2" t="str">
        <f>[1]Dataset!B157</f>
        <v>James Wilson</v>
      </c>
      <c r="C157" s="2" t="str">
        <f>[1]Dataset!C157</f>
        <v>North</v>
      </c>
      <c r="D157" s="2" t="str">
        <f>[1]Dataset!D157</f>
        <v>Electronics</v>
      </c>
      <c r="E157" s="3">
        <f>[1]Dataset!E157</f>
        <v>1681.21</v>
      </c>
      <c r="F157" s="4">
        <f>[1]Dataset!F157</f>
        <v>5</v>
      </c>
      <c r="G157" s="5">
        <f>[1]Dataset!G157</f>
        <v>0.2</v>
      </c>
      <c r="H157" s="6">
        <f>[1]Dataset!H157</f>
        <v>45670</v>
      </c>
      <c r="I157" s="3">
        <f>[1]Dataset!I157</f>
        <v>336.24</v>
      </c>
      <c r="J157" s="3">
        <f t="shared" si="12"/>
        <v>336.24200000000002</v>
      </c>
      <c r="K157" s="3">
        <f t="shared" si="13"/>
        <v>1344.9680000000001</v>
      </c>
      <c r="L157" s="7">
        <f t="shared" si="14"/>
        <v>0.19999881038061873</v>
      </c>
      <c r="M157" s="2" t="str">
        <f t="shared" si="15"/>
        <v>Profit</v>
      </c>
      <c r="N157" s="8">
        <f t="shared" si="16"/>
        <v>45658</v>
      </c>
      <c r="O157" s="49">
        <f t="shared" ca="1" si="17"/>
        <v>46317.962422337965</v>
      </c>
    </row>
    <row r="158" spans="1:15" x14ac:dyDescent="0.25">
      <c r="A158" s="48" t="str">
        <f>[1]Dataset!A158</f>
        <v>CUST015</v>
      </c>
      <c r="B158" s="2" t="str">
        <f>[1]Dataset!B158</f>
        <v>David Thomas</v>
      </c>
      <c r="C158" s="2" t="str">
        <f>[1]Dataset!C158</f>
        <v>West</v>
      </c>
      <c r="D158" s="2" t="str">
        <f>[1]Dataset!D158</f>
        <v>Clothing</v>
      </c>
      <c r="E158" s="3">
        <f>[1]Dataset!E158</f>
        <v>379.77</v>
      </c>
      <c r="F158" s="4">
        <f>[1]Dataset!F158</f>
        <v>9</v>
      </c>
      <c r="G158" s="5">
        <f>[1]Dataset!G158</f>
        <v>0.05</v>
      </c>
      <c r="H158" s="6">
        <f>[1]Dataset!H158</f>
        <v>45673</v>
      </c>
      <c r="I158" s="3">
        <f>[1]Dataset!I158</f>
        <v>180.39</v>
      </c>
      <c r="J158" s="3">
        <f t="shared" si="12"/>
        <v>18.988499999999998</v>
      </c>
      <c r="K158" s="3">
        <f t="shared" si="13"/>
        <v>360.78149999999999</v>
      </c>
      <c r="L158" s="7">
        <f t="shared" si="14"/>
        <v>0.47499802512046763</v>
      </c>
      <c r="M158" s="2" t="str">
        <f t="shared" si="15"/>
        <v>Profit</v>
      </c>
      <c r="N158" s="8">
        <f t="shared" si="16"/>
        <v>45658</v>
      </c>
      <c r="O158" s="49">
        <f t="shared" ca="1" si="17"/>
        <v>46317.962422337965</v>
      </c>
    </row>
    <row r="159" spans="1:15" x14ac:dyDescent="0.25">
      <c r="A159" s="48" t="str">
        <f>[1]Dataset!A159</f>
        <v>CUST008</v>
      </c>
      <c r="B159" s="2" t="str">
        <f>[1]Dataset!B159</f>
        <v>Lisa Thomas</v>
      </c>
      <c r="C159" s="2" t="str">
        <f>[1]Dataset!C159</f>
        <v>Central</v>
      </c>
      <c r="D159" s="2" t="str">
        <f>[1]Dataset!D159</f>
        <v>Clothing</v>
      </c>
      <c r="E159" s="3">
        <f>[1]Dataset!E159</f>
        <v>1076.33</v>
      </c>
      <c r="F159" s="4">
        <f>[1]Dataset!F159</f>
        <v>2</v>
      </c>
      <c r="G159" s="5">
        <f>[1]Dataset!G159</f>
        <v>0.1</v>
      </c>
      <c r="H159" s="6">
        <f>[1]Dataset!H159</f>
        <v>45674</v>
      </c>
      <c r="I159" s="3">
        <f>[1]Dataset!I159</f>
        <v>484.35</v>
      </c>
      <c r="J159" s="3">
        <f t="shared" si="12"/>
        <v>107.633</v>
      </c>
      <c r="K159" s="3">
        <f t="shared" si="13"/>
        <v>968.69699999999989</v>
      </c>
      <c r="L159" s="7">
        <f t="shared" si="14"/>
        <v>0.45000139362463193</v>
      </c>
      <c r="M159" s="2" t="str">
        <f t="shared" si="15"/>
        <v>Profit</v>
      </c>
      <c r="N159" s="8">
        <f t="shared" si="16"/>
        <v>45658</v>
      </c>
      <c r="O159" s="49">
        <f t="shared" ca="1" si="17"/>
        <v>46317.962422337965</v>
      </c>
    </row>
    <row r="160" spans="1:15" x14ac:dyDescent="0.25">
      <c r="A160" s="48" t="str">
        <f>[1]Dataset!A160</f>
        <v>CUST008</v>
      </c>
      <c r="B160" s="2" t="str">
        <f>[1]Dataset!B160</f>
        <v>Mary Davis</v>
      </c>
      <c r="C160" s="2" t="str">
        <f>[1]Dataset!C160</f>
        <v>Central</v>
      </c>
      <c r="D160" s="2" t="str">
        <f>[1]Dataset!D160</f>
        <v>Office Supplies</v>
      </c>
      <c r="E160" s="3">
        <f>[1]Dataset!E160</f>
        <v>1250.71</v>
      </c>
      <c r="F160" s="4">
        <f>[1]Dataset!F160</f>
        <v>7</v>
      </c>
      <c r="G160" s="5">
        <f>[1]Dataset!G160</f>
        <v>0</v>
      </c>
      <c r="H160" s="6">
        <f>[1]Dataset!H160</f>
        <v>45674</v>
      </c>
      <c r="I160" s="3">
        <f>[1]Dataset!I160</f>
        <v>562.82000000000005</v>
      </c>
      <c r="J160" s="3">
        <f t="shared" si="12"/>
        <v>0</v>
      </c>
      <c r="K160" s="3">
        <f t="shared" si="13"/>
        <v>1250.71</v>
      </c>
      <c r="L160" s="7">
        <f t="shared" si="14"/>
        <v>0.45000039977292899</v>
      </c>
      <c r="M160" s="2" t="str">
        <f t="shared" si="15"/>
        <v>Profit</v>
      </c>
      <c r="N160" s="8">
        <f t="shared" si="16"/>
        <v>45658</v>
      </c>
      <c r="O160" s="49">
        <f t="shared" ca="1" si="17"/>
        <v>46317.962422337965</v>
      </c>
    </row>
    <row r="161" spans="1:15" x14ac:dyDescent="0.25">
      <c r="A161" s="48" t="str">
        <f>[1]Dataset!A161</f>
        <v>CUST023</v>
      </c>
      <c r="B161" s="2" t="str">
        <f>[1]Dataset!B161</f>
        <v>James Taylor</v>
      </c>
      <c r="C161" s="2" t="str">
        <f>[1]Dataset!C161</f>
        <v>South</v>
      </c>
      <c r="D161" s="2" t="str">
        <f>[1]Dataset!D161</f>
        <v>Clothing</v>
      </c>
      <c r="E161" s="3">
        <f>[1]Dataset!E161</f>
        <v>1118.3399999999999</v>
      </c>
      <c r="F161" s="4">
        <f>[1]Dataset!F161</f>
        <v>6</v>
      </c>
      <c r="G161" s="5">
        <f>[1]Dataset!G161</f>
        <v>0.2</v>
      </c>
      <c r="H161" s="6">
        <f>[1]Dataset!H161</f>
        <v>45674</v>
      </c>
      <c r="I161" s="3">
        <f>[1]Dataset!I161</f>
        <v>447.34</v>
      </c>
      <c r="J161" s="3">
        <f t="shared" si="12"/>
        <v>223.66800000000001</v>
      </c>
      <c r="K161" s="3">
        <f t="shared" si="13"/>
        <v>894.67199999999991</v>
      </c>
      <c r="L161" s="7">
        <f t="shared" si="14"/>
        <v>0.40000357672979597</v>
      </c>
      <c r="M161" s="2" t="str">
        <f t="shared" si="15"/>
        <v>Profit</v>
      </c>
      <c r="N161" s="8">
        <f t="shared" si="16"/>
        <v>45658</v>
      </c>
      <c r="O161" s="49">
        <f t="shared" ca="1" si="17"/>
        <v>46317.962422337965</v>
      </c>
    </row>
    <row r="162" spans="1:15" x14ac:dyDescent="0.25">
      <c r="A162" s="48" t="str">
        <f>[1]Dataset!A162</f>
        <v>CUST024</v>
      </c>
      <c r="B162" s="2" t="str">
        <f>[1]Dataset!B162</f>
        <v>Linda Taylor</v>
      </c>
      <c r="C162" s="2" t="str">
        <f>[1]Dataset!C162</f>
        <v>North</v>
      </c>
      <c r="D162" s="2" t="str">
        <f>[1]Dataset!D162</f>
        <v>Clothing</v>
      </c>
      <c r="E162" s="3">
        <f>[1]Dataset!E162</f>
        <v>1622.62</v>
      </c>
      <c r="F162" s="4">
        <f>[1]Dataset!F162</f>
        <v>12</v>
      </c>
      <c r="G162" s="5">
        <f>[1]Dataset!G162</f>
        <v>0.2</v>
      </c>
      <c r="H162" s="6">
        <f>[1]Dataset!H162</f>
        <v>45677</v>
      </c>
      <c r="I162" s="3">
        <f>[1]Dataset!I162</f>
        <v>649.04999999999995</v>
      </c>
      <c r="J162" s="3">
        <f t="shared" si="12"/>
        <v>324.524</v>
      </c>
      <c r="K162" s="3">
        <f t="shared" si="13"/>
        <v>1298.096</v>
      </c>
      <c r="L162" s="7">
        <f t="shared" si="14"/>
        <v>0.40000123257447834</v>
      </c>
      <c r="M162" s="2" t="str">
        <f t="shared" si="15"/>
        <v>Profit</v>
      </c>
      <c r="N162" s="8">
        <f t="shared" si="16"/>
        <v>45658</v>
      </c>
      <c r="O162" s="49">
        <f t="shared" ca="1" si="17"/>
        <v>46317.962422337965</v>
      </c>
    </row>
    <row r="163" spans="1:15" x14ac:dyDescent="0.25">
      <c r="A163" s="48" t="str">
        <f>[1]Dataset!A163</f>
        <v>CUST018</v>
      </c>
      <c r="B163" s="2" t="str">
        <f>[1]Dataset!B163</f>
        <v>Lisa Davis</v>
      </c>
      <c r="C163" s="2" t="str">
        <f>[1]Dataset!C163</f>
        <v>North</v>
      </c>
      <c r="D163" s="2" t="str">
        <f>[1]Dataset!D163</f>
        <v>Books</v>
      </c>
      <c r="E163" s="3">
        <f>[1]Dataset!E163</f>
        <v>640.64</v>
      </c>
      <c r="F163" s="4">
        <f>[1]Dataset!F163</f>
        <v>11</v>
      </c>
      <c r="G163" s="5">
        <f>[1]Dataset!G163</f>
        <v>0.2</v>
      </c>
      <c r="H163" s="6">
        <f>[1]Dataset!H163</f>
        <v>45678</v>
      </c>
      <c r="I163" s="3">
        <f>[1]Dataset!I163</f>
        <v>205</v>
      </c>
      <c r="J163" s="3">
        <f t="shared" si="12"/>
        <v>128.12800000000001</v>
      </c>
      <c r="K163" s="3">
        <f t="shared" si="13"/>
        <v>512.51199999999994</v>
      </c>
      <c r="L163" s="7">
        <f t="shared" si="14"/>
        <v>0.31999250749250752</v>
      </c>
      <c r="M163" s="2" t="str">
        <f t="shared" si="15"/>
        <v>Profit</v>
      </c>
      <c r="N163" s="8">
        <f t="shared" si="16"/>
        <v>45658</v>
      </c>
      <c r="O163" s="49">
        <f t="shared" ca="1" si="17"/>
        <v>46317.962422337965</v>
      </c>
    </row>
    <row r="164" spans="1:15" x14ac:dyDescent="0.25">
      <c r="A164" s="48" t="str">
        <f>[1]Dataset!A164</f>
        <v>CUST030</v>
      </c>
      <c r="B164" s="2" t="str">
        <f>[1]Dataset!B164</f>
        <v>Sarah Anderson</v>
      </c>
      <c r="C164" s="2" t="str">
        <f>[1]Dataset!C164</f>
        <v>West</v>
      </c>
      <c r="D164" s="2" t="str">
        <f>[1]Dataset!D164</f>
        <v>Clothing</v>
      </c>
      <c r="E164" s="3">
        <f>[1]Dataset!E164</f>
        <v>585.16</v>
      </c>
      <c r="F164" s="4">
        <f>[1]Dataset!F164</f>
        <v>17</v>
      </c>
      <c r="G164" s="5">
        <f>[1]Dataset!G164</f>
        <v>0.1</v>
      </c>
      <c r="H164" s="6">
        <f>[1]Dataset!H164</f>
        <v>45684</v>
      </c>
      <c r="I164" s="3">
        <f>[1]Dataset!I164</f>
        <v>263.32</v>
      </c>
      <c r="J164" s="3">
        <f t="shared" si="12"/>
        <v>58.515999999999998</v>
      </c>
      <c r="K164" s="3">
        <f t="shared" si="13"/>
        <v>526.64400000000001</v>
      </c>
      <c r="L164" s="7">
        <f t="shared" si="14"/>
        <v>0.44999658213138288</v>
      </c>
      <c r="M164" s="2" t="str">
        <f t="shared" si="15"/>
        <v>Profit</v>
      </c>
      <c r="N164" s="8">
        <f t="shared" si="16"/>
        <v>45658</v>
      </c>
      <c r="O164" s="49">
        <f t="shared" ca="1" si="17"/>
        <v>46317.962422337965</v>
      </c>
    </row>
    <row r="165" spans="1:15" x14ac:dyDescent="0.25">
      <c r="A165" s="48" t="str">
        <f>[1]Dataset!A165</f>
        <v>CUST030</v>
      </c>
      <c r="B165" s="2" t="str">
        <f>[1]Dataset!B165</f>
        <v>Mary Davis</v>
      </c>
      <c r="C165" s="2" t="str">
        <f>[1]Dataset!C165</f>
        <v>East</v>
      </c>
      <c r="D165" s="2" t="str">
        <f>[1]Dataset!D165</f>
        <v>Clothing</v>
      </c>
      <c r="E165" s="3">
        <f>[1]Dataset!E165</f>
        <v>1109.98</v>
      </c>
      <c r="F165" s="4">
        <f>[1]Dataset!F165</f>
        <v>5</v>
      </c>
      <c r="G165" s="5">
        <f>[1]Dataset!G165</f>
        <v>0.2</v>
      </c>
      <c r="H165" s="6">
        <f>[1]Dataset!H165</f>
        <v>45690</v>
      </c>
      <c r="I165" s="3">
        <f>[1]Dataset!I165</f>
        <v>443.99</v>
      </c>
      <c r="J165" s="3">
        <f t="shared" si="12"/>
        <v>221.99600000000001</v>
      </c>
      <c r="K165" s="3">
        <f t="shared" si="13"/>
        <v>887.98400000000004</v>
      </c>
      <c r="L165" s="7">
        <f t="shared" si="14"/>
        <v>0.39999819816573273</v>
      </c>
      <c r="M165" s="2" t="str">
        <f t="shared" si="15"/>
        <v>Profit</v>
      </c>
      <c r="N165" s="8">
        <f t="shared" si="16"/>
        <v>45689</v>
      </c>
      <c r="O165" s="49">
        <f t="shared" ca="1" si="17"/>
        <v>46317.962422337965</v>
      </c>
    </row>
    <row r="166" spans="1:15" x14ac:dyDescent="0.25">
      <c r="A166" s="48" t="str">
        <f>[1]Dataset!A166</f>
        <v>CUST015</v>
      </c>
      <c r="B166" s="2" t="str">
        <f>[1]Dataset!B166</f>
        <v>Lisa Thomas</v>
      </c>
      <c r="C166" s="2" t="str">
        <f>[1]Dataset!C166</f>
        <v>East</v>
      </c>
      <c r="D166" s="2" t="str">
        <f>[1]Dataset!D166</f>
        <v>Books</v>
      </c>
      <c r="E166" s="3">
        <f>[1]Dataset!E166</f>
        <v>1098.08</v>
      </c>
      <c r="F166" s="4">
        <f>[1]Dataset!F166</f>
        <v>9</v>
      </c>
      <c r="G166" s="5">
        <f>[1]Dataset!G166</f>
        <v>0.1</v>
      </c>
      <c r="H166" s="6">
        <f>[1]Dataset!H166</f>
        <v>45692</v>
      </c>
      <c r="I166" s="3">
        <f>[1]Dataset!I166</f>
        <v>395.31</v>
      </c>
      <c r="J166" s="3">
        <f t="shared" si="12"/>
        <v>109.80799999999999</v>
      </c>
      <c r="K166" s="3">
        <f t="shared" si="13"/>
        <v>988.27199999999993</v>
      </c>
      <c r="L166" s="7">
        <f t="shared" si="14"/>
        <v>0.36000109281655257</v>
      </c>
      <c r="M166" s="2" t="str">
        <f t="shared" si="15"/>
        <v>Profit</v>
      </c>
      <c r="N166" s="8">
        <f t="shared" si="16"/>
        <v>45689</v>
      </c>
      <c r="O166" s="49">
        <f t="shared" ca="1" si="17"/>
        <v>46317.962422337965</v>
      </c>
    </row>
    <row r="167" spans="1:15" x14ac:dyDescent="0.25">
      <c r="A167" s="48" t="str">
        <f>[1]Dataset!A167</f>
        <v>CUST002</v>
      </c>
      <c r="B167" s="2" t="str">
        <f>[1]Dataset!B167</f>
        <v>Lisa Davis</v>
      </c>
      <c r="C167" s="2" t="str">
        <f>[1]Dataset!C167</f>
        <v>West</v>
      </c>
      <c r="D167" s="2" t="str">
        <f>[1]Dataset!D167</f>
        <v>Office Supplies</v>
      </c>
      <c r="E167" s="3">
        <f>[1]Dataset!E167</f>
        <v>827.25</v>
      </c>
      <c r="F167" s="4">
        <f>[1]Dataset!F167</f>
        <v>7</v>
      </c>
      <c r="G167" s="5">
        <f>[1]Dataset!G167</f>
        <v>0.1</v>
      </c>
      <c r="H167" s="6">
        <f>[1]Dataset!H167</f>
        <v>45693</v>
      </c>
      <c r="I167" s="3">
        <f>[1]Dataset!I167</f>
        <v>335.04</v>
      </c>
      <c r="J167" s="3">
        <f t="shared" si="12"/>
        <v>82.725000000000009</v>
      </c>
      <c r="K167" s="3">
        <f t="shared" si="13"/>
        <v>744.52499999999998</v>
      </c>
      <c r="L167" s="7">
        <f t="shared" si="14"/>
        <v>0.40500453309156847</v>
      </c>
      <c r="M167" s="2" t="str">
        <f t="shared" si="15"/>
        <v>Profit</v>
      </c>
      <c r="N167" s="8">
        <f t="shared" si="16"/>
        <v>45689</v>
      </c>
      <c r="O167" s="49">
        <f t="shared" ca="1" si="17"/>
        <v>46317.962422337965</v>
      </c>
    </row>
    <row r="168" spans="1:15" x14ac:dyDescent="0.25">
      <c r="A168" s="48" t="str">
        <f>[1]Dataset!A168</f>
        <v>CUST024</v>
      </c>
      <c r="B168" s="2" t="str">
        <f>[1]Dataset!B168</f>
        <v>Linda Wilson</v>
      </c>
      <c r="C168" s="2" t="str">
        <f>[1]Dataset!C168</f>
        <v>Central</v>
      </c>
      <c r="D168" s="2" t="str">
        <f>[1]Dataset!D168</f>
        <v>Clothing</v>
      </c>
      <c r="E168" s="3">
        <f>[1]Dataset!E168</f>
        <v>741.88</v>
      </c>
      <c r="F168" s="4">
        <f>[1]Dataset!F168</f>
        <v>16</v>
      </c>
      <c r="G168" s="5">
        <f>[1]Dataset!G168</f>
        <v>0.1</v>
      </c>
      <c r="H168" s="6">
        <f>[1]Dataset!H168</f>
        <v>45695</v>
      </c>
      <c r="I168" s="3">
        <f>[1]Dataset!I168</f>
        <v>333.85</v>
      </c>
      <c r="J168" s="3">
        <f t="shared" si="12"/>
        <v>74.188000000000002</v>
      </c>
      <c r="K168" s="3">
        <f t="shared" si="13"/>
        <v>667.69200000000001</v>
      </c>
      <c r="L168" s="7">
        <f t="shared" si="14"/>
        <v>0.45000539170755383</v>
      </c>
      <c r="M168" s="2" t="str">
        <f t="shared" si="15"/>
        <v>Profit</v>
      </c>
      <c r="N168" s="8">
        <f t="shared" si="16"/>
        <v>45689</v>
      </c>
      <c r="O168" s="49">
        <f t="shared" ca="1" si="17"/>
        <v>46317.962422337965</v>
      </c>
    </row>
    <row r="169" spans="1:15" x14ac:dyDescent="0.25">
      <c r="A169" s="48" t="str">
        <f>[1]Dataset!A169</f>
        <v>CUST004</v>
      </c>
      <c r="B169" s="2" t="str">
        <f>[1]Dataset!B169</f>
        <v>James Davis</v>
      </c>
      <c r="C169" s="2" t="str">
        <f>[1]Dataset!C169</f>
        <v>East</v>
      </c>
      <c r="D169" s="2" t="str">
        <f>[1]Dataset!D169</f>
        <v>Office Supplies</v>
      </c>
      <c r="E169" s="3">
        <f>[1]Dataset!E169</f>
        <v>1311.26</v>
      </c>
      <c r="F169" s="4">
        <f>[1]Dataset!F169</f>
        <v>6</v>
      </c>
      <c r="G169" s="5">
        <f>[1]Dataset!G169</f>
        <v>0.1</v>
      </c>
      <c r="H169" s="6">
        <f>[1]Dataset!H169</f>
        <v>45698</v>
      </c>
      <c r="I169" s="3">
        <f>[1]Dataset!I169</f>
        <v>531.05999999999995</v>
      </c>
      <c r="J169" s="3">
        <f t="shared" si="12"/>
        <v>131.126</v>
      </c>
      <c r="K169" s="3">
        <f t="shared" si="13"/>
        <v>1180.134</v>
      </c>
      <c r="L169" s="7">
        <f t="shared" si="14"/>
        <v>0.40499977121242159</v>
      </c>
      <c r="M169" s="2" t="str">
        <f t="shared" si="15"/>
        <v>Profit</v>
      </c>
      <c r="N169" s="8">
        <f t="shared" si="16"/>
        <v>45689</v>
      </c>
      <c r="O169" s="49">
        <f t="shared" ca="1" si="17"/>
        <v>46317.962422337965</v>
      </c>
    </row>
    <row r="170" spans="1:15" x14ac:dyDescent="0.25">
      <c r="A170" s="48" t="str">
        <f>[1]Dataset!A170</f>
        <v>CUST004</v>
      </c>
      <c r="B170" s="2" t="str">
        <f>[1]Dataset!B170</f>
        <v>Mary Davis</v>
      </c>
      <c r="C170" s="2" t="str">
        <f>[1]Dataset!C170</f>
        <v>South</v>
      </c>
      <c r="D170" s="2" t="str">
        <f>[1]Dataset!D170</f>
        <v>Office Supplies</v>
      </c>
      <c r="E170" s="3">
        <f>[1]Dataset!E170</f>
        <v>573.32000000000005</v>
      </c>
      <c r="F170" s="4">
        <f>[1]Dataset!F170</f>
        <v>19</v>
      </c>
      <c r="G170" s="5">
        <f>[1]Dataset!G170</f>
        <v>0.1</v>
      </c>
      <c r="H170" s="6">
        <f>[1]Dataset!H170</f>
        <v>45703</v>
      </c>
      <c r="I170" s="3">
        <f>[1]Dataset!I170</f>
        <v>232.19</v>
      </c>
      <c r="J170" s="3">
        <f t="shared" si="12"/>
        <v>57.332000000000008</v>
      </c>
      <c r="K170" s="3">
        <f t="shared" si="13"/>
        <v>515.98800000000006</v>
      </c>
      <c r="L170" s="7">
        <f t="shared" si="14"/>
        <v>0.40499197655759434</v>
      </c>
      <c r="M170" s="2" t="str">
        <f t="shared" si="15"/>
        <v>Profit</v>
      </c>
      <c r="N170" s="8">
        <f t="shared" si="16"/>
        <v>45689</v>
      </c>
      <c r="O170" s="49">
        <f t="shared" ca="1" si="17"/>
        <v>46317.962422337965</v>
      </c>
    </row>
    <row r="171" spans="1:15" x14ac:dyDescent="0.25">
      <c r="A171" s="48" t="str">
        <f>[1]Dataset!A171</f>
        <v>CUST028</v>
      </c>
      <c r="B171" s="2" t="str">
        <f>[1]Dataset!B171</f>
        <v>James Wilson</v>
      </c>
      <c r="C171" s="2" t="str">
        <f>[1]Dataset!C171</f>
        <v>West</v>
      </c>
      <c r="D171" s="2" t="str">
        <f>[1]Dataset!D171</f>
        <v>Electronics</v>
      </c>
      <c r="E171" s="3">
        <f>[1]Dataset!E171</f>
        <v>1115.22</v>
      </c>
      <c r="F171" s="4">
        <f>[1]Dataset!F171</f>
        <v>14</v>
      </c>
      <c r="G171" s="5">
        <f>[1]Dataset!G171</f>
        <v>0.2</v>
      </c>
      <c r="H171" s="6">
        <f>[1]Dataset!H171</f>
        <v>45705</v>
      </c>
      <c r="I171" s="3">
        <f>[1]Dataset!I171</f>
        <v>223.04</v>
      </c>
      <c r="J171" s="3">
        <f t="shared" si="12"/>
        <v>223.04400000000001</v>
      </c>
      <c r="K171" s="3">
        <f t="shared" si="13"/>
        <v>892.17600000000004</v>
      </c>
      <c r="L171" s="7">
        <f t="shared" si="14"/>
        <v>0.19999641326375064</v>
      </c>
      <c r="M171" s="2" t="str">
        <f t="shared" si="15"/>
        <v>Profit</v>
      </c>
      <c r="N171" s="8">
        <f t="shared" si="16"/>
        <v>45689</v>
      </c>
      <c r="O171" s="49">
        <f t="shared" ca="1" si="17"/>
        <v>46317.962422337965</v>
      </c>
    </row>
    <row r="172" spans="1:15" x14ac:dyDescent="0.25">
      <c r="A172" s="48" t="str">
        <f>[1]Dataset!A172</f>
        <v>CUST012</v>
      </c>
      <c r="B172" s="2" t="str">
        <f>[1]Dataset!B172</f>
        <v>Lisa Thomas</v>
      </c>
      <c r="C172" s="2" t="str">
        <f>[1]Dataset!C172</f>
        <v>North</v>
      </c>
      <c r="D172" s="2" t="str">
        <f>[1]Dataset!D172</f>
        <v>Clothing</v>
      </c>
      <c r="E172" s="3">
        <f>[1]Dataset!E172</f>
        <v>845.84</v>
      </c>
      <c r="F172" s="4">
        <f>[1]Dataset!F172</f>
        <v>4</v>
      </c>
      <c r="G172" s="5">
        <f>[1]Dataset!G172</f>
        <v>0</v>
      </c>
      <c r="H172" s="6">
        <f>[1]Dataset!H172</f>
        <v>45707</v>
      </c>
      <c r="I172" s="3">
        <f>[1]Dataset!I172</f>
        <v>422.92</v>
      </c>
      <c r="J172" s="3">
        <f t="shared" si="12"/>
        <v>0</v>
      </c>
      <c r="K172" s="3">
        <f t="shared" si="13"/>
        <v>845.84</v>
      </c>
      <c r="L172" s="7">
        <f t="shared" si="14"/>
        <v>0.5</v>
      </c>
      <c r="M172" s="2" t="str">
        <f t="shared" si="15"/>
        <v>Profit</v>
      </c>
      <c r="N172" s="8">
        <f t="shared" si="16"/>
        <v>45689</v>
      </c>
      <c r="O172" s="49">
        <f t="shared" ca="1" si="17"/>
        <v>46317.962422337965</v>
      </c>
    </row>
    <row r="173" spans="1:15" x14ac:dyDescent="0.25">
      <c r="A173" s="48" t="str">
        <f>[1]Dataset!A173</f>
        <v>CUST026</v>
      </c>
      <c r="B173" s="2" t="str">
        <f>[1]Dataset!B173</f>
        <v>David Brown</v>
      </c>
      <c r="C173" s="2" t="str">
        <f>[1]Dataset!C173</f>
        <v>West</v>
      </c>
      <c r="D173" s="2" t="str">
        <f>[1]Dataset!D173</f>
        <v>Electronics</v>
      </c>
      <c r="E173" s="3">
        <f>[1]Dataset!E173</f>
        <v>1029.8</v>
      </c>
      <c r="F173" s="4">
        <f>[1]Dataset!F173</f>
        <v>3</v>
      </c>
      <c r="G173" s="5">
        <f>[1]Dataset!G173</f>
        <v>0</v>
      </c>
      <c r="H173" s="6">
        <f>[1]Dataset!H173</f>
        <v>45708</v>
      </c>
      <c r="I173" s="3">
        <f>[1]Dataset!I173</f>
        <v>257.45</v>
      </c>
      <c r="J173" s="3">
        <f t="shared" si="12"/>
        <v>0</v>
      </c>
      <c r="K173" s="3">
        <f t="shared" si="13"/>
        <v>1029.8</v>
      </c>
      <c r="L173" s="7">
        <f t="shared" si="14"/>
        <v>0.25</v>
      </c>
      <c r="M173" s="2" t="str">
        <f t="shared" si="15"/>
        <v>Profit</v>
      </c>
      <c r="N173" s="8">
        <f t="shared" si="16"/>
        <v>45689</v>
      </c>
      <c r="O173" s="49">
        <f t="shared" ca="1" si="17"/>
        <v>46317.962422337965</v>
      </c>
    </row>
    <row r="174" spans="1:15" x14ac:dyDescent="0.25">
      <c r="A174" s="48" t="str">
        <f>[1]Dataset!A174</f>
        <v>CUST009</v>
      </c>
      <c r="B174" s="2" t="str">
        <f>[1]Dataset!B174</f>
        <v>Mary Davis</v>
      </c>
      <c r="C174" s="2" t="str">
        <f>[1]Dataset!C174</f>
        <v>North</v>
      </c>
      <c r="D174" s="2" t="str">
        <f>[1]Dataset!D174</f>
        <v>Books</v>
      </c>
      <c r="E174" s="3">
        <f>[1]Dataset!E174</f>
        <v>1189.83</v>
      </c>
      <c r="F174" s="4">
        <f>[1]Dataset!F174</f>
        <v>2</v>
      </c>
      <c r="G174" s="5">
        <f>[1]Dataset!G174</f>
        <v>0.2</v>
      </c>
      <c r="H174" s="6">
        <f>[1]Dataset!H174</f>
        <v>45709</v>
      </c>
      <c r="I174" s="3">
        <f>[1]Dataset!I174</f>
        <v>380.75</v>
      </c>
      <c r="J174" s="3">
        <f t="shared" si="12"/>
        <v>237.96600000000001</v>
      </c>
      <c r="K174" s="3">
        <f t="shared" si="13"/>
        <v>951.86399999999992</v>
      </c>
      <c r="L174" s="7">
        <f t="shared" si="14"/>
        <v>0.32000369800727835</v>
      </c>
      <c r="M174" s="2" t="str">
        <f t="shared" si="15"/>
        <v>Profit</v>
      </c>
      <c r="N174" s="8">
        <f t="shared" si="16"/>
        <v>45689</v>
      </c>
      <c r="O174" s="49">
        <f t="shared" ca="1" si="17"/>
        <v>46317.962422337965</v>
      </c>
    </row>
    <row r="175" spans="1:15" x14ac:dyDescent="0.25">
      <c r="A175" s="48" t="str">
        <f>[1]Dataset!A175</f>
        <v>CUST003</v>
      </c>
      <c r="B175" s="2" t="str">
        <f>[1]Dataset!B175</f>
        <v>Sarah Anderson</v>
      </c>
      <c r="C175" s="2" t="str">
        <f>[1]Dataset!C175</f>
        <v>South</v>
      </c>
      <c r="D175" s="2" t="str">
        <f>[1]Dataset!D175</f>
        <v>Books</v>
      </c>
      <c r="E175" s="3">
        <f>[1]Dataset!E175</f>
        <v>704.28</v>
      </c>
      <c r="F175" s="4">
        <f>[1]Dataset!F175</f>
        <v>15</v>
      </c>
      <c r="G175" s="5">
        <f>[1]Dataset!G175</f>
        <v>0.2</v>
      </c>
      <c r="H175" s="6">
        <f>[1]Dataset!H175</f>
        <v>45712</v>
      </c>
      <c r="I175" s="3">
        <f>[1]Dataset!I175</f>
        <v>225.37</v>
      </c>
      <c r="J175" s="3">
        <f t="shared" si="12"/>
        <v>140.85599999999999</v>
      </c>
      <c r="K175" s="3">
        <f t="shared" si="13"/>
        <v>563.42399999999998</v>
      </c>
      <c r="L175" s="7">
        <f t="shared" si="14"/>
        <v>0.32000056795592663</v>
      </c>
      <c r="M175" s="2" t="str">
        <f t="shared" si="15"/>
        <v>Profit</v>
      </c>
      <c r="N175" s="8">
        <f t="shared" si="16"/>
        <v>45689</v>
      </c>
      <c r="O175" s="49">
        <f t="shared" ca="1" si="17"/>
        <v>46317.962422337965</v>
      </c>
    </row>
    <row r="176" spans="1:15" x14ac:dyDescent="0.25">
      <c r="A176" s="48" t="str">
        <f>[1]Dataset!A176</f>
        <v>CUST002</v>
      </c>
      <c r="B176" s="2" t="str">
        <f>[1]Dataset!B176</f>
        <v>Mary Jackson</v>
      </c>
      <c r="C176" s="2" t="str">
        <f>[1]Dataset!C176</f>
        <v>Central</v>
      </c>
      <c r="D176" s="2" t="str">
        <f>[1]Dataset!D176</f>
        <v>Office Supplies</v>
      </c>
      <c r="E176" s="3">
        <f>[1]Dataset!E176</f>
        <v>1618.22</v>
      </c>
      <c r="F176" s="4">
        <f>[1]Dataset!F176</f>
        <v>12</v>
      </c>
      <c r="G176" s="5">
        <f>[1]Dataset!G176</f>
        <v>0.2</v>
      </c>
      <c r="H176" s="6">
        <f>[1]Dataset!H176</f>
        <v>45712</v>
      </c>
      <c r="I176" s="3">
        <f>[1]Dataset!I176</f>
        <v>582.55999999999995</v>
      </c>
      <c r="J176" s="3">
        <f t="shared" si="12"/>
        <v>323.64400000000001</v>
      </c>
      <c r="K176" s="3">
        <f t="shared" si="13"/>
        <v>1294.576</v>
      </c>
      <c r="L176" s="7">
        <f t="shared" si="14"/>
        <v>0.36000049437035753</v>
      </c>
      <c r="M176" s="2" t="str">
        <f t="shared" si="15"/>
        <v>Profit</v>
      </c>
      <c r="N176" s="8">
        <f t="shared" si="16"/>
        <v>45689</v>
      </c>
      <c r="O176" s="49">
        <f t="shared" ca="1" si="17"/>
        <v>46317.962422337965</v>
      </c>
    </row>
    <row r="177" spans="1:15" x14ac:dyDescent="0.25">
      <c r="A177" s="48" t="str">
        <f>[1]Dataset!A177</f>
        <v>CUST013</v>
      </c>
      <c r="B177" s="2" t="str">
        <f>[1]Dataset!B177</f>
        <v>Linda Taylor</v>
      </c>
      <c r="C177" s="2" t="str">
        <f>[1]Dataset!C177</f>
        <v>Central</v>
      </c>
      <c r="D177" s="2" t="str">
        <f>[1]Dataset!D177</f>
        <v>Books</v>
      </c>
      <c r="E177" s="3">
        <f>[1]Dataset!E177</f>
        <v>1014.43</v>
      </c>
      <c r="F177" s="4">
        <f>[1]Dataset!F177</f>
        <v>2</v>
      </c>
      <c r="G177" s="5">
        <f>[1]Dataset!G177</f>
        <v>0.15</v>
      </c>
      <c r="H177" s="6">
        <f>[1]Dataset!H177</f>
        <v>45713</v>
      </c>
      <c r="I177" s="3">
        <f>[1]Dataset!I177</f>
        <v>344.91</v>
      </c>
      <c r="J177" s="3">
        <f t="shared" si="12"/>
        <v>152.16449999999998</v>
      </c>
      <c r="K177" s="3">
        <f t="shared" si="13"/>
        <v>862.26549999999997</v>
      </c>
      <c r="L177" s="7">
        <f t="shared" si="14"/>
        <v>0.34000374594599925</v>
      </c>
      <c r="M177" s="2" t="str">
        <f t="shared" si="15"/>
        <v>Profit</v>
      </c>
      <c r="N177" s="8">
        <f t="shared" si="16"/>
        <v>45689</v>
      </c>
      <c r="O177" s="49">
        <f t="shared" ca="1" si="17"/>
        <v>46317.962422337965</v>
      </c>
    </row>
    <row r="178" spans="1:15" x14ac:dyDescent="0.25">
      <c r="A178" s="48" t="str">
        <f>[1]Dataset!A178</f>
        <v>CUST018</v>
      </c>
      <c r="B178" s="2" t="str">
        <f>[1]Dataset!B178</f>
        <v>Mary Davis</v>
      </c>
      <c r="C178" s="2" t="str">
        <f>[1]Dataset!C178</f>
        <v>Central</v>
      </c>
      <c r="D178" s="2" t="str">
        <f>[1]Dataset!D178</f>
        <v>Clothing</v>
      </c>
      <c r="E178" s="3">
        <f>[1]Dataset!E178</f>
        <v>826.97</v>
      </c>
      <c r="F178" s="4">
        <f>[1]Dataset!F178</f>
        <v>18</v>
      </c>
      <c r="G178" s="5">
        <f>[1]Dataset!G178</f>
        <v>0.2</v>
      </c>
      <c r="H178" s="6">
        <f>[1]Dataset!H178</f>
        <v>45715</v>
      </c>
      <c r="I178" s="3">
        <f>[1]Dataset!I178</f>
        <v>330.79</v>
      </c>
      <c r="J178" s="3">
        <f t="shared" si="12"/>
        <v>165.39400000000001</v>
      </c>
      <c r="K178" s="3">
        <f t="shared" si="13"/>
        <v>661.57600000000002</v>
      </c>
      <c r="L178" s="7">
        <f t="shared" si="14"/>
        <v>0.40000241846741719</v>
      </c>
      <c r="M178" s="2" t="str">
        <f t="shared" si="15"/>
        <v>Profit</v>
      </c>
      <c r="N178" s="8">
        <f t="shared" si="16"/>
        <v>45689</v>
      </c>
      <c r="O178" s="49">
        <f t="shared" ca="1" si="17"/>
        <v>46317.962422337965</v>
      </c>
    </row>
    <row r="179" spans="1:15" x14ac:dyDescent="0.25">
      <c r="A179" s="48" t="str">
        <f>[1]Dataset!A179</f>
        <v>CUST017</v>
      </c>
      <c r="B179" s="2" t="str">
        <f>[1]Dataset!B179</f>
        <v>Mary Davis</v>
      </c>
      <c r="C179" s="2" t="str">
        <f>[1]Dataset!C179</f>
        <v>Central</v>
      </c>
      <c r="D179" s="2" t="str">
        <f>[1]Dataset!D179</f>
        <v>Clothing</v>
      </c>
      <c r="E179" s="3">
        <f>[1]Dataset!E179</f>
        <v>1022.23</v>
      </c>
      <c r="F179" s="4">
        <f>[1]Dataset!F179</f>
        <v>8</v>
      </c>
      <c r="G179" s="5">
        <f>[1]Dataset!G179</f>
        <v>0.1</v>
      </c>
      <c r="H179" s="6">
        <f>[1]Dataset!H179</f>
        <v>45717</v>
      </c>
      <c r="I179" s="3">
        <f>[1]Dataset!I179</f>
        <v>460</v>
      </c>
      <c r="J179" s="3">
        <f t="shared" si="12"/>
        <v>102.22300000000001</v>
      </c>
      <c r="K179" s="3">
        <f t="shared" si="13"/>
        <v>920.00700000000006</v>
      </c>
      <c r="L179" s="7">
        <f t="shared" si="14"/>
        <v>0.44999657611300781</v>
      </c>
      <c r="M179" s="2" t="str">
        <f t="shared" si="15"/>
        <v>Profit</v>
      </c>
      <c r="N179" s="8">
        <f t="shared" si="16"/>
        <v>45717</v>
      </c>
      <c r="O179" s="49">
        <f t="shared" ca="1" si="17"/>
        <v>46317.962422337965</v>
      </c>
    </row>
    <row r="180" spans="1:15" x14ac:dyDescent="0.25">
      <c r="A180" s="48" t="str">
        <f>[1]Dataset!A180</f>
        <v>CUST004</v>
      </c>
      <c r="B180" s="2" t="str">
        <f>[1]Dataset!B180</f>
        <v>Linda Wilson</v>
      </c>
      <c r="C180" s="2" t="str">
        <f>[1]Dataset!C180</f>
        <v>East</v>
      </c>
      <c r="D180" s="2" t="str">
        <f>[1]Dataset!D180</f>
        <v>Books</v>
      </c>
      <c r="E180" s="3">
        <f>[1]Dataset!E180</f>
        <v>1099.69</v>
      </c>
      <c r="F180" s="4">
        <f>[1]Dataset!F180</f>
        <v>6</v>
      </c>
      <c r="G180" s="5">
        <f>[1]Dataset!G180</f>
        <v>0</v>
      </c>
      <c r="H180" s="6">
        <f>[1]Dataset!H180</f>
        <v>45718</v>
      </c>
      <c r="I180" s="3">
        <f>[1]Dataset!I180</f>
        <v>439.88</v>
      </c>
      <c r="J180" s="3">
        <f t="shared" si="12"/>
        <v>0</v>
      </c>
      <c r="K180" s="3">
        <f t="shared" si="13"/>
        <v>1099.69</v>
      </c>
      <c r="L180" s="7">
        <f t="shared" si="14"/>
        <v>0.40000363738871864</v>
      </c>
      <c r="M180" s="2" t="str">
        <f t="shared" si="15"/>
        <v>Profit</v>
      </c>
      <c r="N180" s="8">
        <f t="shared" si="16"/>
        <v>45717</v>
      </c>
      <c r="O180" s="49">
        <f t="shared" ca="1" si="17"/>
        <v>46317.962422337965</v>
      </c>
    </row>
    <row r="181" spans="1:15" x14ac:dyDescent="0.25">
      <c r="A181" s="48" t="str">
        <f>[1]Dataset!A181</f>
        <v>CUST028</v>
      </c>
      <c r="B181" s="2" t="str">
        <f>[1]Dataset!B181</f>
        <v>Sarah Davis</v>
      </c>
      <c r="C181" s="2" t="str">
        <f>[1]Dataset!C181</f>
        <v>North</v>
      </c>
      <c r="D181" s="2" t="str">
        <f>[1]Dataset!D181</f>
        <v>Books</v>
      </c>
      <c r="E181" s="3">
        <f>[1]Dataset!E181</f>
        <v>710.52</v>
      </c>
      <c r="F181" s="4">
        <f>[1]Dataset!F181</f>
        <v>8</v>
      </c>
      <c r="G181" s="5">
        <f>[1]Dataset!G181</f>
        <v>0.1</v>
      </c>
      <c r="H181" s="6">
        <f>[1]Dataset!H181</f>
        <v>45721</v>
      </c>
      <c r="I181" s="3">
        <f>[1]Dataset!I181</f>
        <v>255.79</v>
      </c>
      <c r="J181" s="3">
        <f t="shared" si="12"/>
        <v>71.052000000000007</v>
      </c>
      <c r="K181" s="3">
        <f t="shared" si="13"/>
        <v>639.46799999999996</v>
      </c>
      <c r="L181" s="7">
        <f t="shared" si="14"/>
        <v>0.36000394077576986</v>
      </c>
      <c r="M181" s="2" t="str">
        <f t="shared" si="15"/>
        <v>Profit</v>
      </c>
      <c r="N181" s="8">
        <f t="shared" si="16"/>
        <v>45717</v>
      </c>
      <c r="O181" s="49">
        <f t="shared" ca="1" si="17"/>
        <v>46317.962422337965</v>
      </c>
    </row>
    <row r="182" spans="1:15" x14ac:dyDescent="0.25">
      <c r="A182" s="48" t="str">
        <f>[1]Dataset!A182</f>
        <v>CUST028</v>
      </c>
      <c r="B182" s="2" t="str">
        <f>[1]Dataset!B182</f>
        <v>Mary Wilson</v>
      </c>
      <c r="C182" s="2" t="str">
        <f>[1]Dataset!C182</f>
        <v>North</v>
      </c>
      <c r="D182" s="2" t="str">
        <f>[1]Dataset!D182</f>
        <v>Books</v>
      </c>
      <c r="E182" s="3">
        <f>[1]Dataset!E182</f>
        <v>499.18</v>
      </c>
      <c r="F182" s="4">
        <f>[1]Dataset!F182</f>
        <v>15</v>
      </c>
      <c r="G182" s="5">
        <f>[1]Dataset!G182</f>
        <v>0.2</v>
      </c>
      <c r="H182" s="6">
        <f>[1]Dataset!H182</f>
        <v>45724</v>
      </c>
      <c r="I182" s="3">
        <f>[1]Dataset!I182</f>
        <v>159.74</v>
      </c>
      <c r="J182" s="3">
        <f t="shared" si="12"/>
        <v>99.836000000000013</v>
      </c>
      <c r="K182" s="3">
        <f t="shared" si="13"/>
        <v>399.34399999999999</v>
      </c>
      <c r="L182" s="7">
        <f t="shared" si="14"/>
        <v>0.3200048078849313</v>
      </c>
      <c r="M182" s="2" t="str">
        <f t="shared" si="15"/>
        <v>Profit</v>
      </c>
      <c r="N182" s="8">
        <f t="shared" si="16"/>
        <v>45717</v>
      </c>
      <c r="O182" s="49">
        <f t="shared" ca="1" si="17"/>
        <v>46317.962422337965</v>
      </c>
    </row>
    <row r="183" spans="1:15" x14ac:dyDescent="0.25">
      <c r="A183" s="48" t="str">
        <f>[1]Dataset!A183</f>
        <v>CUST014</v>
      </c>
      <c r="B183" s="2" t="str">
        <f>[1]Dataset!B183</f>
        <v>Emma Davis</v>
      </c>
      <c r="C183" s="2" t="str">
        <f>[1]Dataset!C183</f>
        <v>South</v>
      </c>
      <c r="D183" s="2" t="str">
        <f>[1]Dataset!D183</f>
        <v>Books</v>
      </c>
      <c r="E183" s="3">
        <f>[1]Dataset!E183</f>
        <v>1064.19</v>
      </c>
      <c r="F183" s="4">
        <f>[1]Dataset!F183</f>
        <v>18</v>
      </c>
      <c r="G183" s="5">
        <f>[1]Dataset!G183</f>
        <v>0.05</v>
      </c>
      <c r="H183" s="6">
        <f>[1]Dataset!H183</f>
        <v>45725</v>
      </c>
      <c r="I183" s="3">
        <f>[1]Dataset!I183</f>
        <v>404.39</v>
      </c>
      <c r="J183" s="3">
        <f t="shared" si="12"/>
        <v>53.209500000000006</v>
      </c>
      <c r="K183" s="3">
        <f t="shared" si="13"/>
        <v>1010.9805</v>
      </c>
      <c r="L183" s="7">
        <f t="shared" si="14"/>
        <v>0.37999793269998777</v>
      </c>
      <c r="M183" s="2" t="str">
        <f t="shared" si="15"/>
        <v>Profit</v>
      </c>
      <c r="N183" s="8">
        <f t="shared" si="16"/>
        <v>45717</v>
      </c>
      <c r="O183" s="49">
        <f t="shared" ca="1" si="17"/>
        <v>46317.962422337965</v>
      </c>
    </row>
    <row r="184" spans="1:15" x14ac:dyDescent="0.25">
      <c r="A184" s="48" t="str">
        <f>[1]Dataset!A184</f>
        <v>CUST003</v>
      </c>
      <c r="B184" s="2" t="str">
        <f>[1]Dataset!B184</f>
        <v>Emma Davis</v>
      </c>
      <c r="C184" s="2" t="str">
        <f>[1]Dataset!C184</f>
        <v>East</v>
      </c>
      <c r="D184" s="2" t="str">
        <f>[1]Dataset!D184</f>
        <v>Office Supplies</v>
      </c>
      <c r="E184" s="3">
        <f>[1]Dataset!E184</f>
        <v>438.76</v>
      </c>
      <c r="F184" s="4">
        <f>[1]Dataset!F184</f>
        <v>18</v>
      </c>
      <c r="G184" s="5">
        <f>[1]Dataset!G184</f>
        <v>0.05</v>
      </c>
      <c r="H184" s="6">
        <f>[1]Dataset!H184</f>
        <v>45726</v>
      </c>
      <c r="I184" s="3">
        <f>[1]Dataset!I184</f>
        <v>187.57</v>
      </c>
      <c r="J184" s="3">
        <f t="shared" si="12"/>
        <v>21.938000000000002</v>
      </c>
      <c r="K184" s="3">
        <f t="shared" si="13"/>
        <v>416.822</v>
      </c>
      <c r="L184" s="7">
        <f t="shared" si="14"/>
        <v>0.42750022791503328</v>
      </c>
      <c r="M184" s="2" t="str">
        <f t="shared" si="15"/>
        <v>Profit</v>
      </c>
      <c r="N184" s="8">
        <f t="shared" si="16"/>
        <v>45717</v>
      </c>
      <c r="O184" s="49">
        <f t="shared" ca="1" si="17"/>
        <v>46317.962422337965</v>
      </c>
    </row>
    <row r="185" spans="1:15" x14ac:dyDescent="0.25">
      <c r="A185" s="48" t="str">
        <f>[1]Dataset!A185</f>
        <v>CUST029</v>
      </c>
      <c r="B185" s="2" t="str">
        <f>[1]Dataset!B185</f>
        <v>David Brown</v>
      </c>
      <c r="C185" s="2" t="str">
        <f>[1]Dataset!C185</f>
        <v>West</v>
      </c>
      <c r="D185" s="2" t="str">
        <f>[1]Dataset!D185</f>
        <v>Clothing</v>
      </c>
      <c r="E185" s="3">
        <f>[1]Dataset!E185</f>
        <v>864.98</v>
      </c>
      <c r="F185" s="4">
        <f>[1]Dataset!F185</f>
        <v>2</v>
      </c>
      <c r="G185" s="5">
        <f>[1]Dataset!G185</f>
        <v>0.05</v>
      </c>
      <c r="H185" s="6">
        <f>[1]Dataset!H185</f>
        <v>45727</v>
      </c>
      <c r="I185" s="3">
        <f>[1]Dataset!I185</f>
        <v>410.87</v>
      </c>
      <c r="J185" s="3">
        <f t="shared" si="12"/>
        <v>43.249000000000002</v>
      </c>
      <c r="K185" s="3">
        <f t="shared" si="13"/>
        <v>821.73099999999999</v>
      </c>
      <c r="L185" s="7">
        <f t="shared" si="14"/>
        <v>0.47500520243242617</v>
      </c>
      <c r="M185" s="2" t="str">
        <f t="shared" si="15"/>
        <v>Profit</v>
      </c>
      <c r="N185" s="8">
        <f t="shared" si="16"/>
        <v>45717</v>
      </c>
      <c r="O185" s="49">
        <f t="shared" ca="1" si="17"/>
        <v>46317.962422337965</v>
      </c>
    </row>
    <row r="186" spans="1:15" x14ac:dyDescent="0.25">
      <c r="A186" s="48" t="str">
        <f>[1]Dataset!A186</f>
        <v>CUST021</v>
      </c>
      <c r="B186" s="2" t="str">
        <f>[1]Dataset!B186</f>
        <v>David Brown</v>
      </c>
      <c r="C186" s="2" t="str">
        <f>[1]Dataset!C186</f>
        <v>West</v>
      </c>
      <c r="D186" s="2" t="str">
        <f>[1]Dataset!D186</f>
        <v>Furniture</v>
      </c>
      <c r="E186" s="3">
        <f>[1]Dataset!E186</f>
        <v>984.93</v>
      </c>
      <c r="F186" s="4">
        <f>[1]Dataset!F186</f>
        <v>14</v>
      </c>
      <c r="G186" s="5">
        <f>[1]Dataset!G186</f>
        <v>0.2</v>
      </c>
      <c r="H186" s="6">
        <f>[1]Dataset!H186</f>
        <v>45733</v>
      </c>
      <c r="I186" s="3">
        <f>[1]Dataset!I186</f>
        <v>275.77999999999997</v>
      </c>
      <c r="J186" s="3">
        <f t="shared" si="12"/>
        <v>196.98599999999999</v>
      </c>
      <c r="K186" s="3">
        <f t="shared" si="13"/>
        <v>787.94399999999996</v>
      </c>
      <c r="L186" s="7">
        <f t="shared" si="14"/>
        <v>0.27999959387976808</v>
      </c>
      <c r="M186" s="2" t="str">
        <f t="shared" si="15"/>
        <v>Profit</v>
      </c>
      <c r="N186" s="8">
        <f t="shared" si="16"/>
        <v>45717</v>
      </c>
      <c r="O186" s="49">
        <f t="shared" ca="1" si="17"/>
        <v>46317.962422337965</v>
      </c>
    </row>
    <row r="187" spans="1:15" x14ac:dyDescent="0.25">
      <c r="A187" s="48" t="str">
        <f>[1]Dataset!A187</f>
        <v>CUST007</v>
      </c>
      <c r="B187" s="2" t="str">
        <f>[1]Dataset!B187</f>
        <v>David Brown</v>
      </c>
      <c r="C187" s="2" t="str">
        <f>[1]Dataset!C187</f>
        <v>West</v>
      </c>
      <c r="D187" s="2" t="str">
        <f>[1]Dataset!D187</f>
        <v>Clothing</v>
      </c>
      <c r="E187" s="3">
        <f>[1]Dataset!E187</f>
        <v>1493.49</v>
      </c>
      <c r="F187" s="4">
        <f>[1]Dataset!F187</f>
        <v>18</v>
      </c>
      <c r="G187" s="5">
        <f>[1]Dataset!G187</f>
        <v>0</v>
      </c>
      <c r="H187" s="6">
        <f>[1]Dataset!H187</f>
        <v>45734</v>
      </c>
      <c r="I187" s="3">
        <f>[1]Dataset!I187</f>
        <v>746.74</v>
      </c>
      <c r="J187" s="3">
        <f t="shared" si="12"/>
        <v>0</v>
      </c>
      <c r="K187" s="3">
        <f t="shared" si="13"/>
        <v>1493.49</v>
      </c>
      <c r="L187" s="7">
        <f t="shared" si="14"/>
        <v>0.499996652136941</v>
      </c>
      <c r="M187" s="2" t="str">
        <f t="shared" si="15"/>
        <v>Profit</v>
      </c>
      <c r="N187" s="8">
        <f t="shared" si="16"/>
        <v>45717</v>
      </c>
      <c r="O187" s="49">
        <f t="shared" ca="1" si="17"/>
        <v>46317.962422337965</v>
      </c>
    </row>
    <row r="188" spans="1:15" x14ac:dyDescent="0.25">
      <c r="A188" s="48" t="str">
        <f>[1]Dataset!A188</f>
        <v>CUST009</v>
      </c>
      <c r="B188" s="2" t="str">
        <f>[1]Dataset!B188</f>
        <v>Linda Taylor</v>
      </c>
      <c r="C188" s="2" t="str">
        <f>[1]Dataset!C188</f>
        <v>South</v>
      </c>
      <c r="D188" s="2" t="str">
        <f>[1]Dataset!D188</f>
        <v>Clothing</v>
      </c>
      <c r="E188" s="3">
        <f>[1]Dataset!E188</f>
        <v>689.43</v>
      </c>
      <c r="F188" s="4">
        <f>[1]Dataset!F188</f>
        <v>9</v>
      </c>
      <c r="G188" s="5">
        <f>[1]Dataset!G188</f>
        <v>0.1</v>
      </c>
      <c r="H188" s="6">
        <f>[1]Dataset!H188</f>
        <v>45736</v>
      </c>
      <c r="I188" s="3">
        <f>[1]Dataset!I188</f>
        <v>310.24</v>
      </c>
      <c r="J188" s="3">
        <f t="shared" si="12"/>
        <v>68.942999999999998</v>
      </c>
      <c r="K188" s="3">
        <f t="shared" si="13"/>
        <v>620.48699999999997</v>
      </c>
      <c r="L188" s="7">
        <f t="shared" si="14"/>
        <v>0.44999492334247138</v>
      </c>
      <c r="M188" s="2" t="str">
        <f t="shared" si="15"/>
        <v>Profit</v>
      </c>
      <c r="N188" s="8">
        <f t="shared" si="16"/>
        <v>45717</v>
      </c>
      <c r="O188" s="49">
        <f t="shared" ca="1" si="17"/>
        <v>46317.962422337965</v>
      </c>
    </row>
    <row r="189" spans="1:15" x14ac:dyDescent="0.25">
      <c r="A189" s="48" t="str">
        <f>[1]Dataset!A189</f>
        <v>CUST023</v>
      </c>
      <c r="B189" s="2" t="str">
        <f>[1]Dataset!B189</f>
        <v>Mary Wilson</v>
      </c>
      <c r="C189" s="2" t="str">
        <f>[1]Dataset!C189</f>
        <v>South</v>
      </c>
      <c r="D189" s="2" t="str">
        <f>[1]Dataset!D189</f>
        <v>Clothing</v>
      </c>
      <c r="E189" s="3">
        <f>[1]Dataset!E189</f>
        <v>682.24</v>
      </c>
      <c r="F189" s="4">
        <f>[1]Dataset!F189</f>
        <v>1</v>
      </c>
      <c r="G189" s="5">
        <f>[1]Dataset!G189</f>
        <v>0</v>
      </c>
      <c r="H189" s="6">
        <f>[1]Dataset!H189</f>
        <v>45738</v>
      </c>
      <c r="I189" s="3">
        <f>[1]Dataset!I189</f>
        <v>341.12</v>
      </c>
      <c r="J189" s="3">
        <f t="shared" si="12"/>
        <v>0</v>
      </c>
      <c r="K189" s="3">
        <f t="shared" si="13"/>
        <v>682.24</v>
      </c>
      <c r="L189" s="7">
        <f t="shared" si="14"/>
        <v>0.5</v>
      </c>
      <c r="M189" s="2" t="str">
        <f t="shared" si="15"/>
        <v>Profit</v>
      </c>
      <c r="N189" s="8">
        <f t="shared" si="16"/>
        <v>45717</v>
      </c>
      <c r="O189" s="49">
        <f t="shared" ca="1" si="17"/>
        <v>46317.962422337965</v>
      </c>
    </row>
    <row r="190" spans="1:15" x14ac:dyDescent="0.25">
      <c r="A190" s="48" t="str">
        <f>[1]Dataset!A190</f>
        <v>CUST029</v>
      </c>
      <c r="B190" s="2" t="str">
        <f>[1]Dataset!B190</f>
        <v>Michael Anderson</v>
      </c>
      <c r="C190" s="2" t="str">
        <f>[1]Dataset!C190</f>
        <v>North</v>
      </c>
      <c r="D190" s="2" t="str">
        <f>[1]Dataset!D190</f>
        <v>Electronics</v>
      </c>
      <c r="E190" s="3">
        <f>[1]Dataset!E190</f>
        <v>458.54</v>
      </c>
      <c r="F190" s="4">
        <f>[1]Dataset!F190</f>
        <v>15</v>
      </c>
      <c r="G190" s="5">
        <f>[1]Dataset!G190</f>
        <v>0.2</v>
      </c>
      <c r="H190" s="6">
        <f>[1]Dataset!H190</f>
        <v>45741</v>
      </c>
      <c r="I190" s="3">
        <f>[1]Dataset!I190</f>
        <v>91.71</v>
      </c>
      <c r="J190" s="3">
        <f t="shared" si="12"/>
        <v>91.708000000000013</v>
      </c>
      <c r="K190" s="3">
        <f t="shared" si="13"/>
        <v>366.83199999999999</v>
      </c>
      <c r="L190" s="7">
        <f t="shared" si="14"/>
        <v>0.20000436166964711</v>
      </c>
      <c r="M190" s="2" t="str">
        <f t="shared" si="15"/>
        <v>Profit</v>
      </c>
      <c r="N190" s="8">
        <f t="shared" si="16"/>
        <v>45717</v>
      </c>
      <c r="O190" s="49">
        <f t="shared" ca="1" si="17"/>
        <v>46317.962422337965</v>
      </c>
    </row>
    <row r="191" spans="1:15" x14ac:dyDescent="0.25">
      <c r="A191" s="48" t="str">
        <f>[1]Dataset!A191</f>
        <v>CUST009</v>
      </c>
      <c r="B191" s="2" t="str">
        <f>[1]Dataset!B191</f>
        <v>Michael Anderson</v>
      </c>
      <c r="C191" s="2" t="str">
        <f>[1]Dataset!C191</f>
        <v>South</v>
      </c>
      <c r="D191" s="2" t="str">
        <f>[1]Dataset!D191</f>
        <v>Furniture</v>
      </c>
      <c r="E191" s="3">
        <f>[1]Dataset!E191</f>
        <v>1184.25</v>
      </c>
      <c r="F191" s="4">
        <f>[1]Dataset!F191</f>
        <v>11</v>
      </c>
      <c r="G191" s="5">
        <f>[1]Dataset!G191</f>
        <v>0.2</v>
      </c>
      <c r="H191" s="6">
        <f>[1]Dataset!H191</f>
        <v>45742</v>
      </c>
      <c r="I191" s="3">
        <f>[1]Dataset!I191</f>
        <v>331.59</v>
      </c>
      <c r="J191" s="3">
        <f t="shared" si="12"/>
        <v>236.85000000000002</v>
      </c>
      <c r="K191" s="3">
        <f t="shared" si="13"/>
        <v>947.4</v>
      </c>
      <c r="L191" s="7">
        <f t="shared" si="14"/>
        <v>0.27999999999999997</v>
      </c>
      <c r="M191" s="2" t="str">
        <f t="shared" si="15"/>
        <v>Profit</v>
      </c>
      <c r="N191" s="8">
        <f t="shared" si="16"/>
        <v>45717</v>
      </c>
      <c r="O191" s="49">
        <f t="shared" ca="1" si="17"/>
        <v>46317.962422337965</v>
      </c>
    </row>
    <row r="192" spans="1:15" x14ac:dyDescent="0.25">
      <c r="A192" s="48" t="str">
        <f>[1]Dataset!A192</f>
        <v>CUST007</v>
      </c>
      <c r="B192" s="2" t="str">
        <f>[1]Dataset!B192</f>
        <v>James Davis</v>
      </c>
      <c r="C192" s="2" t="str">
        <f>[1]Dataset!C192</f>
        <v>South</v>
      </c>
      <c r="D192" s="2" t="str">
        <f>[1]Dataset!D192</f>
        <v>Clothing</v>
      </c>
      <c r="E192" s="3">
        <f>[1]Dataset!E192</f>
        <v>762.14</v>
      </c>
      <c r="F192" s="4">
        <f>[1]Dataset!F192</f>
        <v>9</v>
      </c>
      <c r="G192" s="5">
        <f>[1]Dataset!G192</f>
        <v>0</v>
      </c>
      <c r="H192" s="6">
        <f>[1]Dataset!H192</f>
        <v>45743</v>
      </c>
      <c r="I192" s="3">
        <f>[1]Dataset!I192</f>
        <v>381.07</v>
      </c>
      <c r="J192" s="3">
        <f t="shared" si="12"/>
        <v>0</v>
      </c>
      <c r="K192" s="3">
        <f t="shared" si="13"/>
        <v>762.14</v>
      </c>
      <c r="L192" s="7">
        <f t="shared" si="14"/>
        <v>0.5</v>
      </c>
      <c r="M192" s="2" t="str">
        <f t="shared" si="15"/>
        <v>Profit</v>
      </c>
      <c r="N192" s="8">
        <f t="shared" si="16"/>
        <v>45717</v>
      </c>
      <c r="O192" s="49">
        <f t="shared" ca="1" si="17"/>
        <v>46317.962422337965</v>
      </c>
    </row>
    <row r="193" spans="1:15" x14ac:dyDescent="0.25">
      <c r="A193" s="48" t="str">
        <f>[1]Dataset!A193</f>
        <v>CUST030</v>
      </c>
      <c r="B193" s="2" t="str">
        <f>[1]Dataset!B193</f>
        <v>Linda Taylor</v>
      </c>
      <c r="C193" s="2" t="str">
        <f>[1]Dataset!C193</f>
        <v>North</v>
      </c>
      <c r="D193" s="2" t="str">
        <f>[1]Dataset!D193</f>
        <v>Books</v>
      </c>
      <c r="E193" s="3">
        <f>[1]Dataset!E193</f>
        <v>750.71</v>
      </c>
      <c r="F193" s="4">
        <f>[1]Dataset!F193</f>
        <v>10</v>
      </c>
      <c r="G193" s="5">
        <f>[1]Dataset!G193</f>
        <v>0.15</v>
      </c>
      <c r="H193" s="6">
        <f>[1]Dataset!H193</f>
        <v>45743</v>
      </c>
      <c r="I193" s="3">
        <f>[1]Dataset!I193</f>
        <v>255.24</v>
      </c>
      <c r="J193" s="3">
        <f t="shared" si="12"/>
        <v>112.6065</v>
      </c>
      <c r="K193" s="3">
        <f t="shared" si="13"/>
        <v>638.10350000000005</v>
      </c>
      <c r="L193" s="7">
        <f t="shared" si="14"/>
        <v>0.33999813509877314</v>
      </c>
      <c r="M193" s="2" t="str">
        <f t="shared" si="15"/>
        <v>Profit</v>
      </c>
      <c r="N193" s="8">
        <f t="shared" si="16"/>
        <v>45717</v>
      </c>
      <c r="O193" s="49">
        <f t="shared" ca="1" si="17"/>
        <v>46317.962422337965</v>
      </c>
    </row>
    <row r="194" spans="1:15" x14ac:dyDescent="0.25">
      <c r="A194" s="48" t="str">
        <f>[1]Dataset!A194</f>
        <v>CUST018</v>
      </c>
      <c r="B194" s="2" t="str">
        <f>[1]Dataset!B194</f>
        <v>David Anderson</v>
      </c>
      <c r="C194" s="2" t="str">
        <f>[1]Dataset!C194</f>
        <v>Central</v>
      </c>
      <c r="D194" s="2" t="str">
        <f>[1]Dataset!D194</f>
        <v>Clothing</v>
      </c>
      <c r="E194" s="3">
        <f>[1]Dataset!E194</f>
        <v>1456.94</v>
      </c>
      <c r="F194" s="4">
        <f>[1]Dataset!F194</f>
        <v>14</v>
      </c>
      <c r="G194" s="5">
        <f>[1]Dataset!G194</f>
        <v>0.05</v>
      </c>
      <c r="H194" s="6">
        <f>[1]Dataset!H194</f>
        <v>45745</v>
      </c>
      <c r="I194" s="3">
        <f>[1]Dataset!I194</f>
        <v>692.05</v>
      </c>
      <c r="J194" s="3">
        <f t="shared" ref="J194:J201" si="18">E194*G194</f>
        <v>72.847000000000008</v>
      </c>
      <c r="K194" s="3">
        <f t="shared" ref="K194:K201" si="19">E194-J194</f>
        <v>1384.0930000000001</v>
      </c>
      <c r="L194" s="7">
        <f t="shared" ref="L194:L201" si="20">IF(E194=0,0,I194/E194)</f>
        <v>0.47500240229522145</v>
      </c>
      <c r="M194" s="2" t="str">
        <f t="shared" ref="M194:M201" si="21">IF(I194&gt;0,"Profit",IF(I194=0,"Break-even","Loss"))</f>
        <v>Profit</v>
      </c>
      <c r="N194" s="8">
        <f t="shared" ref="N194:N201" si="22">DATE(YEAR(H194),MONTH(H194),1)</f>
        <v>45717</v>
      </c>
      <c r="O194" s="49">
        <f t="shared" ref="O194:O201" ca="1" si="23">NOW()</f>
        <v>46317.962422337965</v>
      </c>
    </row>
    <row r="195" spans="1:15" x14ac:dyDescent="0.25">
      <c r="A195" s="48" t="str">
        <f>[1]Dataset!A195</f>
        <v>CUST008</v>
      </c>
      <c r="B195" s="2" t="str">
        <f>[1]Dataset!B195</f>
        <v>Emma Wilson</v>
      </c>
      <c r="C195" s="2" t="str">
        <f>[1]Dataset!C195</f>
        <v>East</v>
      </c>
      <c r="D195" s="2" t="str">
        <f>[1]Dataset!D195</f>
        <v>Furniture</v>
      </c>
      <c r="E195" s="3">
        <f>[1]Dataset!E195</f>
        <v>1093.3800000000001</v>
      </c>
      <c r="F195" s="4">
        <f>[1]Dataset!F195</f>
        <v>17</v>
      </c>
      <c r="G195" s="5">
        <f>[1]Dataset!G195</f>
        <v>0.1</v>
      </c>
      <c r="H195" s="6">
        <f>[1]Dataset!H195</f>
        <v>45745</v>
      </c>
      <c r="I195" s="3">
        <f>[1]Dataset!I195</f>
        <v>344.41</v>
      </c>
      <c r="J195" s="3">
        <f t="shared" si="18"/>
        <v>109.33800000000002</v>
      </c>
      <c r="K195" s="3">
        <f t="shared" si="19"/>
        <v>984.04200000000014</v>
      </c>
      <c r="L195" s="7">
        <f t="shared" si="20"/>
        <v>0.31499570140298888</v>
      </c>
      <c r="M195" s="2" t="str">
        <f t="shared" si="21"/>
        <v>Profit</v>
      </c>
      <c r="N195" s="8">
        <f t="shared" si="22"/>
        <v>45717</v>
      </c>
      <c r="O195" s="49">
        <f t="shared" ca="1" si="23"/>
        <v>46317.962422337965</v>
      </c>
    </row>
    <row r="196" spans="1:15" x14ac:dyDescent="0.25">
      <c r="A196" s="48" t="str">
        <f>[1]Dataset!A196</f>
        <v>CUST014</v>
      </c>
      <c r="B196" s="2" t="str">
        <f>[1]Dataset!B196</f>
        <v>Sarah Anderson</v>
      </c>
      <c r="C196" s="2" t="str">
        <f>[1]Dataset!C196</f>
        <v>West</v>
      </c>
      <c r="D196" s="2" t="str">
        <f>[1]Dataset!D196</f>
        <v>Clothing</v>
      </c>
      <c r="E196" s="3">
        <f>[1]Dataset!E196</f>
        <v>934.27</v>
      </c>
      <c r="F196" s="4">
        <f>[1]Dataset!F196</f>
        <v>8</v>
      </c>
      <c r="G196" s="5">
        <f>[1]Dataset!G196</f>
        <v>0.15</v>
      </c>
      <c r="H196" s="6">
        <f>[1]Dataset!H196</f>
        <v>45746</v>
      </c>
      <c r="I196" s="3">
        <f>[1]Dataset!I196</f>
        <v>397.06</v>
      </c>
      <c r="J196" s="3">
        <f t="shared" si="18"/>
        <v>140.1405</v>
      </c>
      <c r="K196" s="3">
        <f t="shared" si="19"/>
        <v>794.12950000000001</v>
      </c>
      <c r="L196" s="7">
        <f t="shared" si="20"/>
        <v>0.42499491581662691</v>
      </c>
      <c r="M196" s="2" t="str">
        <f t="shared" si="21"/>
        <v>Profit</v>
      </c>
      <c r="N196" s="8">
        <f t="shared" si="22"/>
        <v>45717</v>
      </c>
      <c r="O196" s="49">
        <f t="shared" ca="1" si="23"/>
        <v>46317.962422337965</v>
      </c>
    </row>
    <row r="197" spans="1:15" x14ac:dyDescent="0.25">
      <c r="A197" s="48" t="str">
        <f>[1]Dataset!A197</f>
        <v>CUST024</v>
      </c>
      <c r="B197" s="2" t="str">
        <f>[1]Dataset!B197</f>
        <v>David Thomas</v>
      </c>
      <c r="C197" s="2" t="str">
        <f>[1]Dataset!C197</f>
        <v>Central</v>
      </c>
      <c r="D197" s="2" t="str">
        <f>[1]Dataset!D197</f>
        <v>Clothing</v>
      </c>
      <c r="E197" s="3">
        <f>[1]Dataset!E197</f>
        <v>1465.35</v>
      </c>
      <c r="F197" s="4">
        <f>[1]Dataset!F197</f>
        <v>8</v>
      </c>
      <c r="G197" s="5">
        <f>[1]Dataset!G197</f>
        <v>0.2</v>
      </c>
      <c r="H197" s="6">
        <f>[1]Dataset!H197</f>
        <v>45746</v>
      </c>
      <c r="I197" s="3">
        <f>[1]Dataset!I197</f>
        <v>586.14</v>
      </c>
      <c r="J197" s="3">
        <f t="shared" si="18"/>
        <v>293.07</v>
      </c>
      <c r="K197" s="3">
        <f t="shared" si="19"/>
        <v>1172.28</v>
      </c>
      <c r="L197" s="7">
        <f t="shared" si="20"/>
        <v>0.4</v>
      </c>
      <c r="M197" s="2" t="str">
        <f t="shared" si="21"/>
        <v>Profit</v>
      </c>
      <c r="N197" s="8">
        <f t="shared" si="22"/>
        <v>45717</v>
      </c>
      <c r="O197" s="49">
        <f t="shared" ca="1" si="23"/>
        <v>46317.962422337965</v>
      </c>
    </row>
    <row r="198" spans="1:15" x14ac:dyDescent="0.25">
      <c r="A198" s="48" t="str">
        <f>[1]Dataset!A198</f>
        <v>CUST028</v>
      </c>
      <c r="B198" s="2" t="str">
        <f>[1]Dataset!B198</f>
        <v>Robert Anderson</v>
      </c>
      <c r="C198" s="2" t="str">
        <f>[1]Dataset!C198</f>
        <v>South</v>
      </c>
      <c r="D198" s="2" t="str">
        <f>[1]Dataset!D198</f>
        <v>Office Supplies</v>
      </c>
      <c r="E198" s="3">
        <f>[1]Dataset!E198</f>
        <v>740.8</v>
      </c>
      <c r="F198" s="4">
        <f>[1]Dataset!F198</f>
        <v>3</v>
      </c>
      <c r="G198" s="5">
        <f>[1]Dataset!G198</f>
        <v>0</v>
      </c>
      <c r="H198" s="6">
        <f>[1]Dataset!H198</f>
        <v>45749</v>
      </c>
      <c r="I198" s="3">
        <f>[1]Dataset!I198</f>
        <v>333.36</v>
      </c>
      <c r="J198" s="3">
        <f t="shared" si="18"/>
        <v>0</v>
      </c>
      <c r="K198" s="3">
        <f t="shared" si="19"/>
        <v>740.8</v>
      </c>
      <c r="L198" s="7">
        <f t="shared" si="20"/>
        <v>0.45000000000000007</v>
      </c>
      <c r="M198" s="2" t="str">
        <f t="shared" si="21"/>
        <v>Profit</v>
      </c>
      <c r="N198" s="8">
        <f t="shared" si="22"/>
        <v>45748</v>
      </c>
      <c r="O198" s="49">
        <f t="shared" ca="1" si="23"/>
        <v>46317.962422337965</v>
      </c>
    </row>
    <row r="199" spans="1:15" x14ac:dyDescent="0.25">
      <c r="A199" s="48" t="str">
        <f>[1]Dataset!A199</f>
        <v>CUST015</v>
      </c>
      <c r="B199" s="2" t="str">
        <f>[1]Dataset!B199</f>
        <v>Sarah Anderson</v>
      </c>
      <c r="C199" s="2" t="str">
        <f>[1]Dataset!C199</f>
        <v>West</v>
      </c>
      <c r="D199" s="2" t="str">
        <f>[1]Dataset!D199</f>
        <v>Office Supplies</v>
      </c>
      <c r="E199" s="3">
        <f>[1]Dataset!E199</f>
        <v>545.44000000000005</v>
      </c>
      <c r="F199" s="4">
        <f>[1]Dataset!F199</f>
        <v>17</v>
      </c>
      <c r="G199" s="5">
        <f>[1]Dataset!G199</f>
        <v>0</v>
      </c>
      <c r="H199" s="6">
        <f>[1]Dataset!H199</f>
        <v>45752</v>
      </c>
      <c r="I199" s="3">
        <f>[1]Dataset!I199</f>
        <v>245.45</v>
      </c>
      <c r="J199" s="3">
        <f t="shared" si="18"/>
        <v>0</v>
      </c>
      <c r="K199" s="3">
        <f t="shared" si="19"/>
        <v>545.44000000000005</v>
      </c>
      <c r="L199" s="7">
        <f t="shared" si="20"/>
        <v>0.45000366676444697</v>
      </c>
      <c r="M199" s="2" t="str">
        <f t="shared" si="21"/>
        <v>Profit</v>
      </c>
      <c r="N199" s="8">
        <f t="shared" si="22"/>
        <v>45748</v>
      </c>
      <c r="O199" s="49">
        <f t="shared" ca="1" si="23"/>
        <v>46317.962422337965</v>
      </c>
    </row>
    <row r="200" spans="1:15" x14ac:dyDescent="0.25">
      <c r="A200" s="48" t="str">
        <f>[1]Dataset!A200</f>
        <v>CUST010</v>
      </c>
      <c r="B200" s="2" t="str">
        <f>[1]Dataset!B200</f>
        <v>David Thomas</v>
      </c>
      <c r="C200" s="2" t="str">
        <f>[1]Dataset!C200</f>
        <v>East</v>
      </c>
      <c r="D200" s="2" t="str">
        <f>[1]Dataset!D200</f>
        <v>Books</v>
      </c>
      <c r="E200" s="3">
        <f>[1]Dataset!E200</f>
        <v>997.61</v>
      </c>
      <c r="F200" s="4">
        <f>[1]Dataset!F200</f>
        <v>8</v>
      </c>
      <c r="G200" s="5">
        <f>[1]Dataset!G200</f>
        <v>0.05</v>
      </c>
      <c r="H200" s="6">
        <f>[1]Dataset!H200</f>
        <v>45752</v>
      </c>
      <c r="I200" s="3">
        <f>[1]Dataset!I200</f>
        <v>379.09</v>
      </c>
      <c r="J200" s="3">
        <f t="shared" si="18"/>
        <v>49.880500000000005</v>
      </c>
      <c r="K200" s="3">
        <f t="shared" si="19"/>
        <v>947.72950000000003</v>
      </c>
      <c r="L200" s="7">
        <f t="shared" si="20"/>
        <v>0.37999819568769355</v>
      </c>
      <c r="M200" s="2" t="str">
        <f t="shared" si="21"/>
        <v>Profit</v>
      </c>
      <c r="N200" s="8">
        <f t="shared" si="22"/>
        <v>45748</v>
      </c>
      <c r="O200" s="49">
        <f t="shared" ca="1" si="23"/>
        <v>46317.962422337965</v>
      </c>
    </row>
    <row r="201" spans="1:15" x14ac:dyDescent="0.25">
      <c r="A201" s="50" t="str">
        <f>[1]Dataset!A201</f>
        <v>CUST016</v>
      </c>
      <c r="B201" s="51" t="str">
        <f>[1]Dataset!B201</f>
        <v>David Thomas</v>
      </c>
      <c r="C201" s="51" t="str">
        <f>[1]Dataset!C201</f>
        <v>South</v>
      </c>
      <c r="D201" s="51" t="str">
        <f>[1]Dataset!D201</f>
        <v>Clothing</v>
      </c>
      <c r="E201" s="52">
        <f>[1]Dataset!E201</f>
        <v>928.32</v>
      </c>
      <c r="F201" s="53">
        <f>[1]Dataset!F201</f>
        <v>2</v>
      </c>
      <c r="G201" s="54">
        <f>[1]Dataset!G201</f>
        <v>0.05</v>
      </c>
      <c r="H201" s="55">
        <f>[1]Dataset!H201</f>
        <v>45754</v>
      </c>
      <c r="I201" s="52">
        <f>[1]Dataset!I201</f>
        <v>440.95</v>
      </c>
      <c r="J201" s="52">
        <f t="shared" si="18"/>
        <v>46.416000000000004</v>
      </c>
      <c r="K201" s="52">
        <f t="shared" si="19"/>
        <v>881.904</v>
      </c>
      <c r="L201" s="56">
        <f t="shared" si="20"/>
        <v>0.4749978455704929</v>
      </c>
      <c r="M201" s="51" t="str">
        <f t="shared" si="21"/>
        <v>Profit</v>
      </c>
      <c r="N201" s="57">
        <f t="shared" si="22"/>
        <v>45748</v>
      </c>
      <c r="O201" s="58">
        <f t="shared" ca="1" si="23"/>
        <v>46317.962422337965</v>
      </c>
    </row>
  </sheetData>
  <conditionalFormatting sqref="K2:K201">
    <cfRule type="top10" dxfId="53" priority="1" rank="10"/>
  </conditionalFormatting>
  <conditionalFormatting sqref="M2:M201">
    <cfRule type="cellIs" dxfId="52" priority="2" operator="equal">
      <formula>"Loss"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3DDA-0DC5-4284-8029-F31741A495B8}">
  <dimension ref="A1:M36"/>
  <sheetViews>
    <sheetView topLeftCell="D1" workbookViewId="0">
      <selection activeCell="C10" sqref="C10"/>
    </sheetView>
  </sheetViews>
  <sheetFormatPr defaultRowHeight="15" x14ac:dyDescent="0.25"/>
  <cols>
    <col min="1" max="1" width="14.5703125" customWidth="1"/>
    <col min="2" max="2" width="9.140625" customWidth="1"/>
    <col min="3" max="3" width="14" customWidth="1"/>
    <col min="4" max="4" width="16.7109375" customWidth="1"/>
    <col min="5" max="5" width="14" customWidth="1"/>
    <col min="6" max="6" width="22.42578125" customWidth="1"/>
    <col min="7" max="7" width="8" customWidth="1"/>
    <col min="8" max="8" width="15.85546875" customWidth="1"/>
    <col min="9" max="9" width="3" customWidth="1"/>
    <col min="10" max="10" width="36" customWidth="1"/>
    <col min="11" max="11" width="14" customWidth="1"/>
    <col min="12" max="12" width="16" customWidth="1"/>
    <col min="13" max="13" width="18" customWidth="1"/>
  </cols>
  <sheetData>
    <row r="1" spans="1:13" ht="20.25" x14ac:dyDescent="0.3">
      <c r="A1" s="9" t="s">
        <v>15</v>
      </c>
    </row>
    <row r="2" spans="1:13" x14ac:dyDescent="0.25">
      <c r="A2" s="10" t="s">
        <v>16</v>
      </c>
    </row>
    <row r="4" spans="1:13" ht="25.5" x14ac:dyDescent="0.25">
      <c r="A4" s="59" t="s">
        <v>0</v>
      </c>
      <c r="B4" s="59" t="s">
        <v>17</v>
      </c>
      <c r="C4" s="59" t="s">
        <v>18</v>
      </c>
      <c r="D4" s="59" t="s">
        <v>10</v>
      </c>
      <c r="E4" s="59" t="s">
        <v>19</v>
      </c>
      <c r="F4" s="59" t="s">
        <v>20</v>
      </c>
      <c r="G4" s="59" t="s">
        <v>21</v>
      </c>
      <c r="H4" s="59" t="s">
        <v>22</v>
      </c>
      <c r="J4" s="11" t="s">
        <v>23</v>
      </c>
      <c r="K4" s="12">
        <v>10</v>
      </c>
    </row>
    <row r="5" spans="1:13" x14ac:dyDescent="0.25">
      <c r="A5" s="2" t="s">
        <v>24</v>
      </c>
      <c r="B5" s="4">
        <f>COUNTIF([1]Dataset!$A$2:$A$201,$A5)</f>
        <v>7</v>
      </c>
      <c r="C5" s="3">
        <f>SUMIFS([1]Dataset!$E$2:$E$201,[1]Dataset!$A$2:$A$201,$A5)</f>
        <v>6549.55</v>
      </c>
      <c r="D5" s="3">
        <f>SUMIFS([1]Analysis!$K$2:$K$201,[1]Analysis!$A$2:$A$201,$A5)</f>
        <v>5713.2670000000016</v>
      </c>
      <c r="E5" s="3">
        <f>SUMIFS([1]Dataset!$I$2:$I$201,[1]Dataset!$A$2:$A$201,$A5)</f>
        <v>1868.7700000000004</v>
      </c>
      <c r="F5" s="3">
        <f t="shared" ref="F5:F34" si="0">IF(B5=0,0,D5/B5)</f>
        <v>816.18100000000027</v>
      </c>
      <c r="G5" s="4">
        <f t="shared" ref="G5:G34" si="1">RANK(D5,$D$5:$D$34,0)</f>
        <v>17</v>
      </c>
      <c r="H5" s="2" t="str">
        <f t="shared" ref="H5:H34" si="2">IF(G5&lt;=$K$4,"High Value","Regular")</f>
        <v>Regular</v>
      </c>
      <c r="J5" s="10" t="s">
        <v>25</v>
      </c>
    </row>
    <row r="6" spans="1:13" x14ac:dyDescent="0.25">
      <c r="A6" s="2" t="s">
        <v>26</v>
      </c>
      <c r="B6" s="4">
        <f>COUNTIF([1]Dataset!$A$2:$A$201,$A6)</f>
        <v>6</v>
      </c>
      <c r="C6" s="3">
        <f>SUMIFS([1]Dataset!$E$2:$E$201,[1]Dataset!$A$2:$A$201,$A6)</f>
        <v>6481.43</v>
      </c>
      <c r="D6" s="3">
        <f>SUMIFS([1]Analysis!$K$2:$K$201,[1]Analysis!$A$2:$A$201,$A6)</f>
        <v>5896.6475</v>
      </c>
      <c r="E6" s="3">
        <f>SUMIFS([1]Dataset!$I$2:$I$201,[1]Dataset!$A$2:$A$201,$A6)</f>
        <v>2210.7399999999998</v>
      </c>
      <c r="F6" s="3">
        <f t="shared" si="0"/>
        <v>982.77458333333334</v>
      </c>
      <c r="G6" s="4">
        <f t="shared" si="1"/>
        <v>15</v>
      </c>
      <c r="H6" s="2" t="str">
        <f t="shared" si="2"/>
        <v>Regular</v>
      </c>
    </row>
    <row r="7" spans="1:13" x14ac:dyDescent="0.25">
      <c r="A7" s="2" t="s">
        <v>27</v>
      </c>
      <c r="B7" s="4">
        <f>COUNTIF([1]Dataset!$A$2:$A$201,$A7)</f>
        <v>9</v>
      </c>
      <c r="C7" s="3">
        <f>SUMIFS([1]Dataset!$E$2:$E$201,[1]Dataset!$A$2:$A$201,$A7)</f>
        <v>8490.18</v>
      </c>
      <c r="D7" s="3">
        <f>SUMIFS([1]Analysis!$K$2:$K$201,[1]Analysis!$A$2:$A$201,$A7)</f>
        <v>7482.1869999999999</v>
      </c>
      <c r="E7" s="3">
        <f>SUMIFS([1]Dataset!$I$2:$I$201,[1]Dataset!$A$2:$A$201,$A7)</f>
        <v>2652.75</v>
      </c>
      <c r="F7" s="3">
        <f t="shared" si="0"/>
        <v>831.35411111111114</v>
      </c>
      <c r="G7" s="4">
        <f t="shared" si="1"/>
        <v>8</v>
      </c>
      <c r="H7" s="2" t="str">
        <f t="shared" si="2"/>
        <v>High Value</v>
      </c>
      <c r="J7" s="1" t="s">
        <v>21</v>
      </c>
      <c r="K7" s="1" t="s">
        <v>0</v>
      </c>
      <c r="L7" s="1" t="s">
        <v>10</v>
      </c>
      <c r="M7" s="1" t="s">
        <v>28</v>
      </c>
    </row>
    <row r="8" spans="1:13" x14ac:dyDescent="0.25">
      <c r="A8" s="2" t="s">
        <v>29</v>
      </c>
      <c r="B8" s="4">
        <f>COUNTIF([1]Dataset!$A$2:$A$201,$A8)</f>
        <v>7</v>
      </c>
      <c r="C8" s="3">
        <f>SUMIFS([1]Dataset!$E$2:$E$201,[1]Dataset!$A$2:$A$201,$A8)</f>
        <v>7813.59</v>
      </c>
      <c r="D8" s="3">
        <f>SUMIFS([1]Analysis!$K$2:$K$201,[1]Analysis!$A$2:$A$201,$A8)</f>
        <v>7105.2455000000009</v>
      </c>
      <c r="E8" s="3">
        <f>SUMIFS([1]Dataset!$I$2:$I$201,[1]Dataset!$A$2:$A$201,$A8)</f>
        <v>3211.82</v>
      </c>
      <c r="F8" s="3">
        <f t="shared" si="0"/>
        <v>1015.0350714285715</v>
      </c>
      <c r="G8" s="4">
        <f t="shared" si="1"/>
        <v>10</v>
      </c>
      <c r="H8" s="2" t="str">
        <f t="shared" si="2"/>
        <v>High Value</v>
      </c>
      <c r="J8" s="4">
        <v>1</v>
      </c>
      <c r="K8" s="2" t="str">
        <f t="shared" ref="K8:K17" si="3">INDEX($A$5:$A$34,MATCH(L8,$D$5:$D$34,0))</f>
        <v>CUST015</v>
      </c>
      <c r="L8" s="3">
        <f t="shared" ref="L8:L17" si="4">LARGE($D$5:$D$34,J8)</f>
        <v>10166.612500000001</v>
      </c>
      <c r="M8" s="7">
        <f t="shared" ref="M8:M17" si="5">L8/SUM($D$5:$D$34)</f>
        <v>5.7782900085496886E-2</v>
      </c>
    </row>
    <row r="9" spans="1:13" x14ac:dyDescent="0.25">
      <c r="A9" s="2" t="s">
        <v>30</v>
      </c>
      <c r="B9" s="4">
        <f>COUNTIF([1]Dataset!$A$2:$A$201,$A9)</f>
        <v>6</v>
      </c>
      <c r="C9" s="3">
        <f>SUMIFS([1]Dataset!$E$2:$E$201,[1]Dataset!$A$2:$A$201,$A9)</f>
        <v>6666.130000000001</v>
      </c>
      <c r="D9" s="3">
        <f>SUMIFS([1]Analysis!$K$2:$K$201,[1]Analysis!$A$2:$A$201,$A9)</f>
        <v>5898.9414999999999</v>
      </c>
      <c r="E9" s="3">
        <f>SUMIFS([1]Dataset!$I$2:$I$201,[1]Dataset!$A$2:$A$201,$A9)</f>
        <v>1982.3899999999999</v>
      </c>
      <c r="F9" s="3">
        <f t="shared" si="0"/>
        <v>983.15691666666669</v>
      </c>
      <c r="G9" s="4">
        <f t="shared" si="1"/>
        <v>14</v>
      </c>
      <c r="H9" s="2" t="str">
        <f t="shared" si="2"/>
        <v>Regular</v>
      </c>
      <c r="J9" s="4">
        <v>2</v>
      </c>
      <c r="K9" s="2" t="str">
        <f t="shared" si="3"/>
        <v>CUST007</v>
      </c>
      <c r="L9" s="3">
        <f t="shared" si="4"/>
        <v>9535.8584999999985</v>
      </c>
      <c r="M9" s="7">
        <f t="shared" si="5"/>
        <v>5.4197950294155112E-2</v>
      </c>
    </row>
    <row r="10" spans="1:13" x14ac:dyDescent="0.25">
      <c r="A10" s="2" t="s">
        <v>31</v>
      </c>
      <c r="B10" s="4">
        <f>COUNTIF([1]Dataset!$A$2:$A$201,$A10)</f>
        <v>2</v>
      </c>
      <c r="C10" s="3">
        <f>SUMIFS([1]Dataset!$E$2:$E$201,[1]Dataset!$A$2:$A$201,$A10)</f>
        <v>2699.75</v>
      </c>
      <c r="D10" s="3">
        <f>SUMIFS([1]Analysis!$K$2:$K$201,[1]Analysis!$A$2:$A$201,$A10)</f>
        <v>2219.4804999999997</v>
      </c>
      <c r="E10" s="3">
        <f>SUMIFS([1]Dataset!$I$2:$I$201,[1]Dataset!$A$2:$A$201,$A10)</f>
        <v>837.06</v>
      </c>
      <c r="F10" s="3">
        <f t="shared" si="0"/>
        <v>1109.7402499999998</v>
      </c>
      <c r="G10" s="4">
        <f t="shared" si="1"/>
        <v>30</v>
      </c>
      <c r="H10" s="2" t="str">
        <f t="shared" si="2"/>
        <v>Regular</v>
      </c>
      <c r="J10" s="4">
        <v>3</v>
      </c>
      <c r="K10" s="2" t="str">
        <f t="shared" si="3"/>
        <v>CUST028</v>
      </c>
      <c r="L10" s="3">
        <f t="shared" si="4"/>
        <v>9150.2659999999996</v>
      </c>
      <c r="M10" s="7">
        <f t="shared" si="5"/>
        <v>5.2006398988229278E-2</v>
      </c>
    </row>
    <row r="11" spans="1:13" x14ac:dyDescent="0.25">
      <c r="A11" s="2" t="s">
        <v>32</v>
      </c>
      <c r="B11" s="4">
        <f>COUNTIF([1]Dataset!$A$2:$A$201,$A11)</f>
        <v>10</v>
      </c>
      <c r="C11" s="3">
        <f>SUMIFS([1]Dataset!$E$2:$E$201,[1]Dataset!$A$2:$A$201,$A11)</f>
        <v>9941.8799999999992</v>
      </c>
      <c r="D11" s="3">
        <f>SUMIFS([1]Analysis!$K$2:$K$201,[1]Analysis!$A$2:$A$201,$A11)</f>
        <v>9535.8584999999985</v>
      </c>
      <c r="E11" s="3">
        <f>SUMIFS([1]Dataset!$I$2:$I$201,[1]Dataset!$A$2:$A$201,$A11)</f>
        <v>3936.2599999999998</v>
      </c>
      <c r="F11" s="3">
        <f t="shared" si="0"/>
        <v>953.58584999999982</v>
      </c>
      <c r="G11" s="4">
        <f t="shared" si="1"/>
        <v>2</v>
      </c>
      <c r="H11" s="2" t="str">
        <f t="shared" si="2"/>
        <v>High Value</v>
      </c>
      <c r="J11" s="4">
        <v>4</v>
      </c>
      <c r="K11" s="2" t="str">
        <f t="shared" si="3"/>
        <v>CUST008</v>
      </c>
      <c r="L11" s="3">
        <f t="shared" si="4"/>
        <v>8762.7430000000004</v>
      </c>
      <c r="M11" s="7">
        <f t="shared" si="5"/>
        <v>4.9803875503653471E-2</v>
      </c>
    </row>
    <row r="12" spans="1:13" x14ac:dyDescent="0.25">
      <c r="A12" s="2" t="s">
        <v>33</v>
      </c>
      <c r="B12" s="4">
        <f>COUNTIF([1]Dataset!$A$2:$A$201,$A12)</f>
        <v>10</v>
      </c>
      <c r="C12" s="3">
        <f>SUMIFS([1]Dataset!$E$2:$E$201,[1]Dataset!$A$2:$A$201,$A12)</f>
        <v>9760.7999999999993</v>
      </c>
      <c r="D12" s="3">
        <f>SUMIFS([1]Analysis!$K$2:$K$201,[1]Analysis!$A$2:$A$201,$A12)</f>
        <v>8762.7430000000004</v>
      </c>
      <c r="E12" s="3">
        <f>SUMIFS([1]Dataset!$I$2:$I$201,[1]Dataset!$A$2:$A$201,$A12)</f>
        <v>3442.48</v>
      </c>
      <c r="F12" s="3">
        <f t="shared" si="0"/>
        <v>876.27430000000004</v>
      </c>
      <c r="G12" s="4">
        <f t="shared" si="1"/>
        <v>4</v>
      </c>
      <c r="H12" s="2" t="str">
        <f t="shared" si="2"/>
        <v>High Value</v>
      </c>
      <c r="J12" s="4">
        <v>5</v>
      </c>
      <c r="K12" s="2" t="str">
        <f t="shared" si="3"/>
        <v>CUST026</v>
      </c>
      <c r="L12" s="3">
        <f t="shared" si="4"/>
        <v>8599.259</v>
      </c>
      <c r="M12" s="7">
        <f t="shared" si="5"/>
        <v>4.8874698785491215E-2</v>
      </c>
    </row>
    <row r="13" spans="1:13" x14ac:dyDescent="0.25">
      <c r="A13" s="2" t="s">
        <v>34</v>
      </c>
      <c r="B13" s="4">
        <f>COUNTIF([1]Dataset!$A$2:$A$201,$A13)</f>
        <v>7</v>
      </c>
      <c r="C13" s="3">
        <f>SUMIFS([1]Dataset!$E$2:$E$201,[1]Dataset!$A$2:$A$201,$A13)</f>
        <v>6505.2</v>
      </c>
      <c r="D13" s="3">
        <f>SUMIFS([1]Analysis!$K$2:$K$201,[1]Analysis!$A$2:$A$201,$A13)</f>
        <v>5813.543999999999</v>
      </c>
      <c r="E13" s="3">
        <f>SUMIFS([1]Dataset!$I$2:$I$201,[1]Dataset!$A$2:$A$201,$A13)</f>
        <v>2052.54</v>
      </c>
      <c r="F13" s="3">
        <f t="shared" si="0"/>
        <v>830.50628571428558</v>
      </c>
      <c r="G13" s="4">
        <f t="shared" si="1"/>
        <v>16</v>
      </c>
      <c r="H13" s="2" t="str">
        <f t="shared" si="2"/>
        <v>Regular</v>
      </c>
      <c r="J13" s="4">
        <v>6</v>
      </c>
      <c r="K13" s="2" t="str">
        <f t="shared" si="3"/>
        <v>CUST021</v>
      </c>
      <c r="L13" s="3">
        <f t="shared" si="4"/>
        <v>7757.5109999999986</v>
      </c>
      <c r="M13" s="7">
        <f t="shared" si="5"/>
        <v>4.4090544714391632E-2</v>
      </c>
    </row>
    <row r="14" spans="1:13" x14ac:dyDescent="0.25">
      <c r="A14" s="2" t="s">
        <v>35</v>
      </c>
      <c r="B14" s="4">
        <f>COUNTIF([1]Dataset!$A$2:$A$201,$A14)</f>
        <v>5</v>
      </c>
      <c r="C14" s="3">
        <f>SUMIFS([1]Dataset!$E$2:$E$201,[1]Dataset!$A$2:$A$201,$A14)</f>
        <v>4259.22</v>
      </c>
      <c r="D14" s="3">
        <f>SUMIFS([1]Analysis!$K$2:$K$201,[1]Analysis!$A$2:$A$201,$A14)</f>
        <v>4129.3645000000006</v>
      </c>
      <c r="E14" s="3">
        <f>SUMIFS([1]Dataset!$I$2:$I$201,[1]Dataset!$A$2:$A$201,$A14)</f>
        <v>1529.32</v>
      </c>
      <c r="F14" s="3">
        <f t="shared" si="0"/>
        <v>825.87290000000007</v>
      </c>
      <c r="G14" s="4">
        <f t="shared" si="1"/>
        <v>23</v>
      </c>
      <c r="H14" s="2" t="str">
        <f t="shared" si="2"/>
        <v>Regular</v>
      </c>
      <c r="J14" s="4">
        <v>7</v>
      </c>
      <c r="K14" s="2" t="str">
        <f t="shared" si="3"/>
        <v>CUST012</v>
      </c>
      <c r="L14" s="3">
        <f t="shared" si="4"/>
        <v>7588.558</v>
      </c>
      <c r="M14" s="7">
        <f t="shared" si="5"/>
        <v>4.3130284419416791E-2</v>
      </c>
    </row>
    <row r="15" spans="1:13" x14ac:dyDescent="0.25">
      <c r="A15" s="2" t="s">
        <v>36</v>
      </c>
      <c r="B15" s="4">
        <f>COUNTIF([1]Dataset!$A$2:$A$201,$A15)</f>
        <v>4</v>
      </c>
      <c r="C15" s="3">
        <f>SUMIFS([1]Dataset!$E$2:$E$201,[1]Dataset!$A$2:$A$201,$A15)</f>
        <v>3762.2900000000004</v>
      </c>
      <c r="D15" s="3">
        <f>SUMIFS([1]Analysis!$K$2:$K$201,[1]Analysis!$A$2:$A$201,$A15)</f>
        <v>3580.0225</v>
      </c>
      <c r="E15" s="3">
        <f>SUMIFS([1]Dataset!$I$2:$I$201,[1]Dataset!$A$2:$A$201,$A15)</f>
        <v>1545.04</v>
      </c>
      <c r="F15" s="3">
        <f t="shared" si="0"/>
        <v>895.00562500000001</v>
      </c>
      <c r="G15" s="4">
        <f t="shared" si="1"/>
        <v>26</v>
      </c>
      <c r="H15" s="2" t="str">
        <f t="shared" si="2"/>
        <v>Regular</v>
      </c>
      <c r="J15" s="4">
        <v>8</v>
      </c>
      <c r="K15" s="2" t="str">
        <f t="shared" si="3"/>
        <v>CUST003</v>
      </c>
      <c r="L15" s="3">
        <f t="shared" si="4"/>
        <v>7482.1869999999999</v>
      </c>
      <c r="M15" s="7">
        <f t="shared" si="5"/>
        <v>4.2525714818185865E-2</v>
      </c>
    </row>
    <row r="16" spans="1:13" x14ac:dyDescent="0.25">
      <c r="A16" s="2" t="s">
        <v>37</v>
      </c>
      <c r="B16" s="4">
        <f>COUNTIF([1]Dataset!$A$2:$A$201,$A16)</f>
        <v>9</v>
      </c>
      <c r="C16" s="3">
        <f>SUMIFS([1]Dataset!$E$2:$E$201,[1]Dataset!$A$2:$A$201,$A16)</f>
        <v>8339</v>
      </c>
      <c r="D16" s="3">
        <f>SUMIFS([1]Analysis!$K$2:$K$201,[1]Analysis!$A$2:$A$201,$A16)</f>
        <v>7588.558</v>
      </c>
      <c r="E16" s="3">
        <f>SUMIFS([1]Dataset!$I$2:$I$201,[1]Dataset!$A$2:$A$201,$A16)</f>
        <v>2988.7100000000005</v>
      </c>
      <c r="F16" s="3">
        <f t="shared" si="0"/>
        <v>843.1731111111111</v>
      </c>
      <c r="G16" s="4">
        <f t="shared" si="1"/>
        <v>7</v>
      </c>
      <c r="H16" s="2" t="str">
        <f t="shared" si="2"/>
        <v>High Value</v>
      </c>
      <c r="J16" s="4">
        <v>9</v>
      </c>
      <c r="K16" s="2" t="str">
        <f t="shared" si="3"/>
        <v>CUST030</v>
      </c>
      <c r="L16" s="3">
        <f t="shared" si="4"/>
        <v>7206.6115000000009</v>
      </c>
      <c r="M16" s="7">
        <f t="shared" si="5"/>
        <v>4.0959455498032683E-2</v>
      </c>
    </row>
    <row r="17" spans="1:13" x14ac:dyDescent="0.25">
      <c r="A17" s="2" t="s">
        <v>38</v>
      </c>
      <c r="B17" s="4">
        <f>COUNTIF([1]Dataset!$A$2:$A$201,$A17)</f>
        <v>4</v>
      </c>
      <c r="C17" s="3">
        <f>SUMIFS([1]Dataset!$E$2:$E$201,[1]Dataset!$A$2:$A$201,$A17)</f>
        <v>4162.4400000000005</v>
      </c>
      <c r="D17" s="3">
        <f>SUMIFS([1]Analysis!$K$2:$K$201,[1]Analysis!$A$2:$A$201,$A17)</f>
        <v>3816.4884999999999</v>
      </c>
      <c r="E17" s="3">
        <f>SUMIFS([1]Dataset!$I$2:$I$201,[1]Dataset!$A$2:$A$201,$A17)</f>
        <v>1605.11</v>
      </c>
      <c r="F17" s="3">
        <f t="shared" si="0"/>
        <v>954.12212499999998</v>
      </c>
      <c r="G17" s="4">
        <f t="shared" si="1"/>
        <v>25</v>
      </c>
      <c r="H17" s="2" t="str">
        <f t="shared" si="2"/>
        <v>Regular</v>
      </c>
      <c r="J17" s="4">
        <v>10</v>
      </c>
      <c r="K17" s="2" t="str">
        <f t="shared" si="3"/>
        <v>CUST004</v>
      </c>
      <c r="L17" s="3">
        <f t="shared" si="4"/>
        <v>7105.2455000000009</v>
      </c>
      <c r="M17" s="7">
        <f t="shared" si="5"/>
        <v>4.0383332285894281E-2</v>
      </c>
    </row>
    <row r="18" spans="1:13" x14ac:dyDescent="0.25">
      <c r="A18" s="2" t="s">
        <v>39</v>
      </c>
      <c r="B18" s="4">
        <f>COUNTIF([1]Dataset!$A$2:$A$201,$A18)</f>
        <v>6</v>
      </c>
      <c r="C18" s="3">
        <f>SUMIFS([1]Dataset!$E$2:$E$201,[1]Dataset!$A$2:$A$201,$A18)</f>
        <v>6729.8899999999994</v>
      </c>
      <c r="D18" s="3">
        <f>SUMIFS([1]Analysis!$K$2:$K$201,[1]Analysis!$A$2:$A$201,$A18)</f>
        <v>5978.7195000000002</v>
      </c>
      <c r="E18" s="3">
        <f>SUMIFS([1]Dataset!$I$2:$I$201,[1]Dataset!$A$2:$A$201,$A18)</f>
        <v>2507.1799999999998</v>
      </c>
      <c r="F18" s="3">
        <f t="shared" si="0"/>
        <v>996.45325000000003</v>
      </c>
      <c r="G18" s="4">
        <f t="shared" si="1"/>
        <v>13</v>
      </c>
      <c r="H18" s="2" t="str">
        <f t="shared" si="2"/>
        <v>Regular</v>
      </c>
      <c r="J18" s="13" t="s">
        <v>40</v>
      </c>
      <c r="K18" s="13"/>
      <c r="L18" s="14">
        <f>SUM(L8:L17)</f>
        <v>83354.851999999999</v>
      </c>
      <c r="M18" s="15">
        <f>SUM(M8:M17)</f>
        <v>0.47375515539294721</v>
      </c>
    </row>
    <row r="19" spans="1:13" x14ac:dyDescent="0.25">
      <c r="A19" s="2" t="s">
        <v>41</v>
      </c>
      <c r="B19" s="4">
        <f>COUNTIF([1]Dataset!$A$2:$A$201,$A19)</f>
        <v>11</v>
      </c>
      <c r="C19" s="3">
        <f>SUMIFS([1]Dataset!$E$2:$E$201,[1]Dataset!$A$2:$A$201,$A19)</f>
        <v>11611.060000000001</v>
      </c>
      <c r="D19" s="3">
        <f>SUMIFS([1]Analysis!$K$2:$K$201,[1]Analysis!$A$2:$A$201,$A19)</f>
        <v>10166.612500000001</v>
      </c>
      <c r="E19" s="3">
        <f>SUMIFS([1]Dataset!$I$2:$I$201,[1]Dataset!$A$2:$A$201,$A19)</f>
        <v>4201.59</v>
      </c>
      <c r="F19" s="3">
        <f t="shared" si="0"/>
        <v>924.23750000000007</v>
      </c>
      <c r="G19" s="4">
        <f t="shared" si="1"/>
        <v>1</v>
      </c>
      <c r="H19" s="2" t="str">
        <f t="shared" si="2"/>
        <v>High Value</v>
      </c>
    </row>
    <row r="20" spans="1:13" x14ac:dyDescent="0.25">
      <c r="A20" s="2" t="s">
        <v>42</v>
      </c>
      <c r="B20" s="4">
        <f>COUNTIF([1]Dataset!$A$2:$A$201,$A20)</f>
        <v>4</v>
      </c>
      <c r="C20" s="3">
        <f>SUMIFS([1]Dataset!$E$2:$E$201,[1]Dataset!$A$2:$A$201,$A20)</f>
        <v>3369.17</v>
      </c>
      <c r="D20" s="3">
        <f>SUMIFS([1]Analysis!$K$2:$K$201,[1]Analysis!$A$2:$A$201,$A20)</f>
        <v>3093.1590000000001</v>
      </c>
      <c r="E20" s="3">
        <f>SUMIFS([1]Dataset!$I$2:$I$201,[1]Dataset!$A$2:$A$201,$A20)</f>
        <v>1497.25</v>
      </c>
      <c r="F20" s="3">
        <f t="shared" si="0"/>
        <v>773.28975000000003</v>
      </c>
      <c r="G20" s="4">
        <f t="shared" si="1"/>
        <v>29</v>
      </c>
      <c r="H20" s="2" t="str">
        <f t="shared" si="2"/>
        <v>Regular</v>
      </c>
      <c r="J20" s="10" t="s">
        <v>43</v>
      </c>
    </row>
    <row r="21" spans="1:13" x14ac:dyDescent="0.25">
      <c r="A21" s="2" t="s">
        <v>44</v>
      </c>
      <c r="B21" s="4">
        <f>COUNTIF([1]Dataset!$A$2:$A$201,$A21)</f>
        <v>4</v>
      </c>
      <c r="C21" s="3">
        <f>SUMIFS([1]Dataset!$E$2:$E$201,[1]Dataset!$A$2:$A$201,$A21)</f>
        <v>3419.2</v>
      </c>
      <c r="D21" s="3">
        <f>SUMIFS([1]Analysis!$K$2:$K$201,[1]Analysis!$A$2:$A$201,$A21)</f>
        <v>3151.5909999999999</v>
      </c>
      <c r="E21" s="3">
        <f>SUMIFS([1]Dataset!$I$2:$I$201,[1]Dataset!$A$2:$A$201,$A21)</f>
        <v>1257.21</v>
      </c>
      <c r="F21" s="3">
        <f t="shared" si="0"/>
        <v>787.89774999999997</v>
      </c>
      <c r="G21" s="4">
        <f t="shared" si="1"/>
        <v>28</v>
      </c>
      <c r="H21" s="2" t="str">
        <f t="shared" si="2"/>
        <v>Regular</v>
      </c>
    </row>
    <row r="22" spans="1:13" x14ac:dyDescent="0.25">
      <c r="A22" s="2" t="s">
        <v>45</v>
      </c>
      <c r="B22" s="4">
        <f>COUNTIF([1]Dataset!$A$2:$A$201,$A22)</f>
        <v>5</v>
      </c>
      <c r="C22" s="3">
        <f>SUMIFS([1]Dataset!$E$2:$E$201,[1]Dataset!$A$2:$A$201,$A22)</f>
        <v>4951.8899999999994</v>
      </c>
      <c r="D22" s="3">
        <f>SUMIFS([1]Analysis!$K$2:$K$201,[1]Analysis!$A$2:$A$201,$A22)</f>
        <v>4440.576</v>
      </c>
      <c r="E22" s="3">
        <f>SUMIFS([1]Dataset!$I$2:$I$201,[1]Dataset!$A$2:$A$201,$A22)</f>
        <v>1821.6399999999999</v>
      </c>
      <c r="F22" s="3">
        <f t="shared" si="0"/>
        <v>888.11519999999996</v>
      </c>
      <c r="G22" s="4">
        <f t="shared" si="1"/>
        <v>20</v>
      </c>
      <c r="H22" s="2" t="str">
        <f t="shared" si="2"/>
        <v>Regular</v>
      </c>
    </row>
    <row r="23" spans="1:13" x14ac:dyDescent="0.25">
      <c r="A23" s="2" t="s">
        <v>46</v>
      </c>
      <c r="B23" s="4">
        <f>COUNTIF([1]Dataset!$A$2:$A$201,$A23)</f>
        <v>5</v>
      </c>
      <c r="C23" s="3">
        <f>SUMIFS([1]Dataset!$E$2:$E$201,[1]Dataset!$A$2:$A$201,$A23)</f>
        <v>4640.1099999999997</v>
      </c>
      <c r="D23" s="3">
        <f>SUMIFS([1]Analysis!$K$2:$K$201,[1]Analysis!$A$2:$A$201,$A23)</f>
        <v>4195.5625</v>
      </c>
      <c r="E23" s="3">
        <f>SUMIFS([1]Dataset!$I$2:$I$201,[1]Dataset!$A$2:$A$201,$A23)</f>
        <v>1721.12</v>
      </c>
      <c r="F23" s="3">
        <f t="shared" si="0"/>
        <v>839.11249999999995</v>
      </c>
      <c r="G23" s="4">
        <f t="shared" si="1"/>
        <v>22</v>
      </c>
      <c r="H23" s="2" t="str">
        <f t="shared" si="2"/>
        <v>Regular</v>
      </c>
    </row>
    <row r="24" spans="1:13" x14ac:dyDescent="0.25">
      <c r="A24" s="2" t="s">
        <v>47</v>
      </c>
      <c r="B24" s="4">
        <f>COUNTIF([1]Dataset!$A$2:$A$201,$A24)</f>
        <v>4</v>
      </c>
      <c r="C24" s="3">
        <f>SUMIFS([1]Dataset!$E$2:$E$201,[1]Dataset!$A$2:$A$201,$A24)</f>
        <v>4413.71</v>
      </c>
      <c r="D24" s="3">
        <f>SUMIFS([1]Analysis!$K$2:$K$201,[1]Analysis!$A$2:$A$201,$A24)</f>
        <v>4345.143</v>
      </c>
      <c r="E24" s="3">
        <f>SUMIFS([1]Dataset!$I$2:$I$201,[1]Dataset!$A$2:$A$201,$A24)</f>
        <v>1664.79</v>
      </c>
      <c r="F24" s="3">
        <f t="shared" si="0"/>
        <v>1086.28575</v>
      </c>
      <c r="G24" s="4">
        <f t="shared" si="1"/>
        <v>21</v>
      </c>
      <c r="H24" s="2" t="str">
        <f t="shared" si="2"/>
        <v>Regular</v>
      </c>
    </row>
    <row r="25" spans="1:13" x14ac:dyDescent="0.25">
      <c r="A25" s="2" t="s">
        <v>48</v>
      </c>
      <c r="B25" s="4">
        <f>COUNTIF([1]Dataset!$A$2:$A$201,$A25)</f>
        <v>8</v>
      </c>
      <c r="C25" s="3">
        <f>SUMIFS([1]Dataset!$E$2:$E$201,[1]Dataset!$A$2:$A$201,$A25)</f>
        <v>8740.18</v>
      </c>
      <c r="D25" s="3">
        <f>SUMIFS([1]Analysis!$K$2:$K$201,[1]Analysis!$A$2:$A$201,$A25)</f>
        <v>7757.5109999999986</v>
      </c>
      <c r="E25" s="3">
        <f>SUMIFS([1]Dataset!$I$2:$I$201,[1]Dataset!$A$2:$A$201,$A25)</f>
        <v>2848.62</v>
      </c>
      <c r="F25" s="3">
        <f t="shared" si="0"/>
        <v>969.68887499999983</v>
      </c>
      <c r="G25" s="4">
        <f t="shared" si="1"/>
        <v>6</v>
      </c>
      <c r="H25" s="2" t="str">
        <f t="shared" si="2"/>
        <v>High Value</v>
      </c>
    </row>
    <row r="26" spans="1:13" x14ac:dyDescent="0.25">
      <c r="A26" s="2" t="s">
        <v>49</v>
      </c>
      <c r="B26" s="4">
        <f>COUNTIF([1]Dataset!$A$2:$A$201,$A26)</f>
        <v>5</v>
      </c>
      <c r="C26" s="3">
        <f>SUMIFS([1]Dataset!$E$2:$E$201,[1]Dataset!$A$2:$A$201,$A26)</f>
        <v>4418.2800000000007</v>
      </c>
      <c r="D26" s="3">
        <f>SUMIFS([1]Analysis!$K$2:$K$201,[1]Analysis!$A$2:$A$201,$A26)</f>
        <v>4090.8205000000003</v>
      </c>
      <c r="E26" s="3">
        <f>SUMIFS([1]Dataset!$I$2:$I$201,[1]Dataset!$A$2:$A$201,$A26)</f>
        <v>1605.23</v>
      </c>
      <c r="F26" s="3">
        <f t="shared" si="0"/>
        <v>818.16410000000008</v>
      </c>
      <c r="G26" s="4">
        <f t="shared" si="1"/>
        <v>24</v>
      </c>
      <c r="H26" s="2" t="str">
        <f t="shared" si="2"/>
        <v>Regular</v>
      </c>
    </row>
    <row r="27" spans="1:13" x14ac:dyDescent="0.25">
      <c r="A27" s="2" t="s">
        <v>50</v>
      </c>
      <c r="B27" s="4">
        <f>COUNTIF([1]Dataset!$A$2:$A$201,$A27)</f>
        <v>7</v>
      </c>
      <c r="C27" s="3">
        <f>SUMIFS([1]Dataset!$E$2:$E$201,[1]Dataset!$A$2:$A$201,$A27)</f>
        <v>5913.68</v>
      </c>
      <c r="D27" s="3">
        <f>SUMIFS([1]Analysis!$K$2:$K$201,[1]Analysis!$A$2:$A$201,$A27)</f>
        <v>5392.2855</v>
      </c>
      <c r="E27" s="3">
        <f>SUMIFS([1]Dataset!$I$2:$I$201,[1]Dataset!$A$2:$A$201,$A27)</f>
        <v>2198.62</v>
      </c>
      <c r="F27" s="3">
        <f t="shared" si="0"/>
        <v>770.32650000000001</v>
      </c>
      <c r="G27" s="4">
        <f t="shared" si="1"/>
        <v>18</v>
      </c>
      <c r="H27" s="2" t="str">
        <f t="shared" si="2"/>
        <v>Regular</v>
      </c>
    </row>
    <row r="28" spans="1:13" x14ac:dyDescent="0.25">
      <c r="A28" s="2" t="s">
        <v>51</v>
      </c>
      <c r="B28" s="4">
        <f>COUNTIF([1]Dataset!$A$2:$A$201,$A28)</f>
        <v>7</v>
      </c>
      <c r="C28" s="3">
        <f>SUMIFS([1]Dataset!$E$2:$E$201,[1]Dataset!$A$2:$A$201,$A28)</f>
        <v>7583.1299999999992</v>
      </c>
      <c r="D28" s="3">
        <f>SUMIFS([1]Analysis!$K$2:$K$201,[1]Analysis!$A$2:$A$201,$A28)</f>
        <v>6301.0349999999999</v>
      </c>
      <c r="E28" s="3">
        <f>SUMIFS([1]Dataset!$I$2:$I$201,[1]Dataset!$A$2:$A$201,$A28)</f>
        <v>2492.1</v>
      </c>
      <c r="F28" s="3">
        <f t="shared" si="0"/>
        <v>900.14785714285711</v>
      </c>
      <c r="G28" s="4">
        <f t="shared" si="1"/>
        <v>11</v>
      </c>
      <c r="H28" s="2" t="str">
        <f t="shared" si="2"/>
        <v>Regular</v>
      </c>
    </row>
    <row r="29" spans="1:13" x14ac:dyDescent="0.25">
      <c r="A29" s="2" t="s">
        <v>52</v>
      </c>
      <c r="B29" s="4">
        <f>COUNTIF([1]Dataset!$A$2:$A$201,$A29)</f>
        <v>6</v>
      </c>
      <c r="C29" s="3">
        <f>SUMIFS([1]Dataset!$E$2:$E$201,[1]Dataset!$A$2:$A$201,$A29)</f>
        <v>6716.52</v>
      </c>
      <c r="D29" s="3">
        <f>SUMIFS([1]Analysis!$K$2:$K$201,[1]Analysis!$A$2:$A$201,$A29)</f>
        <v>6061.7220000000007</v>
      </c>
      <c r="E29" s="3">
        <f>SUMIFS([1]Dataset!$I$2:$I$201,[1]Dataset!$A$2:$A$201,$A29)</f>
        <v>2327.84</v>
      </c>
      <c r="F29" s="3">
        <f t="shared" si="0"/>
        <v>1010.2870000000001</v>
      </c>
      <c r="G29" s="4">
        <f t="shared" si="1"/>
        <v>12</v>
      </c>
      <c r="H29" s="2" t="str">
        <f t="shared" si="2"/>
        <v>Regular</v>
      </c>
    </row>
    <row r="30" spans="1:13" x14ac:dyDescent="0.25">
      <c r="A30" s="2" t="s">
        <v>53</v>
      </c>
      <c r="B30" s="4">
        <f>COUNTIF([1]Dataset!$A$2:$A$201,$A30)</f>
        <v>9</v>
      </c>
      <c r="C30" s="3">
        <f>SUMIFS([1]Dataset!$E$2:$E$201,[1]Dataset!$A$2:$A$201,$A30)</f>
        <v>9371.81</v>
      </c>
      <c r="D30" s="3">
        <f>SUMIFS([1]Analysis!$K$2:$K$201,[1]Analysis!$A$2:$A$201,$A30)</f>
        <v>8599.259</v>
      </c>
      <c r="E30" s="3">
        <f>SUMIFS([1]Dataset!$I$2:$I$201,[1]Dataset!$A$2:$A$201,$A30)</f>
        <v>2922.0199999999995</v>
      </c>
      <c r="F30" s="3">
        <f t="shared" si="0"/>
        <v>955.47322222222226</v>
      </c>
      <c r="G30" s="4">
        <f t="shared" si="1"/>
        <v>5</v>
      </c>
      <c r="H30" s="2" t="str">
        <f t="shared" si="2"/>
        <v>High Value</v>
      </c>
    </row>
    <row r="31" spans="1:13" x14ac:dyDescent="0.25">
      <c r="A31" s="2" t="s">
        <v>54</v>
      </c>
      <c r="B31" s="4">
        <f>COUNTIF([1]Dataset!$A$2:$A$201,$A31)</f>
        <v>5</v>
      </c>
      <c r="C31" s="3">
        <f>SUMIFS([1]Dataset!$E$2:$E$201,[1]Dataset!$A$2:$A$201,$A31)</f>
        <v>3906.04</v>
      </c>
      <c r="D31" s="3">
        <f>SUMIFS([1]Analysis!$K$2:$K$201,[1]Analysis!$A$2:$A$201,$A31)</f>
        <v>3423.0874999999996</v>
      </c>
      <c r="E31" s="3">
        <f>SUMIFS([1]Dataset!$I$2:$I$201,[1]Dataset!$A$2:$A$201,$A31)</f>
        <v>1240.6500000000001</v>
      </c>
      <c r="F31" s="3">
        <f t="shared" si="0"/>
        <v>684.61749999999995</v>
      </c>
      <c r="G31" s="4">
        <f t="shared" si="1"/>
        <v>27</v>
      </c>
      <c r="H31" s="2" t="str">
        <f t="shared" si="2"/>
        <v>Regular</v>
      </c>
    </row>
    <row r="32" spans="1:13" x14ac:dyDescent="0.25">
      <c r="A32" s="2" t="s">
        <v>55</v>
      </c>
      <c r="B32" s="4">
        <f>COUNTIF([1]Dataset!$A$2:$A$201,$A32)</f>
        <v>12</v>
      </c>
      <c r="C32" s="3">
        <f>SUMIFS([1]Dataset!$E$2:$E$201,[1]Dataset!$A$2:$A$201,$A32)</f>
        <v>10293.870000000001</v>
      </c>
      <c r="D32" s="3">
        <f>SUMIFS([1]Analysis!$K$2:$K$201,[1]Analysis!$A$2:$A$201,$A32)</f>
        <v>9150.2659999999996</v>
      </c>
      <c r="E32" s="3">
        <f>SUMIFS([1]Dataset!$I$2:$I$201,[1]Dataset!$A$2:$A$201,$A32)</f>
        <v>3541.02</v>
      </c>
      <c r="F32" s="3">
        <f t="shared" si="0"/>
        <v>762.52216666666664</v>
      </c>
      <c r="G32" s="4">
        <f t="shared" si="1"/>
        <v>3</v>
      </c>
      <c r="H32" s="2" t="str">
        <f t="shared" si="2"/>
        <v>High Value</v>
      </c>
    </row>
    <row r="33" spans="1:8" x14ac:dyDescent="0.25">
      <c r="A33" s="2" t="s">
        <v>56</v>
      </c>
      <c r="B33" s="4">
        <f>COUNTIF([1]Dataset!$A$2:$A$201,$A33)</f>
        <v>7</v>
      </c>
      <c r="C33" s="3">
        <f>SUMIFS([1]Dataset!$E$2:$E$201,[1]Dataset!$A$2:$A$201,$A33)</f>
        <v>5779.05</v>
      </c>
      <c r="D33" s="3">
        <f>SUMIFS([1]Analysis!$K$2:$K$201,[1]Analysis!$A$2:$A$201,$A33)</f>
        <v>5048.6930000000002</v>
      </c>
      <c r="E33" s="3">
        <f>SUMIFS([1]Dataset!$I$2:$I$201,[1]Dataset!$A$2:$A$201,$A33)</f>
        <v>1611.6599999999999</v>
      </c>
      <c r="F33" s="3">
        <f t="shared" si="0"/>
        <v>721.24185714285716</v>
      </c>
      <c r="G33" s="4">
        <f t="shared" si="1"/>
        <v>19</v>
      </c>
      <c r="H33" s="2" t="str">
        <f t="shared" si="2"/>
        <v>Regular</v>
      </c>
    </row>
    <row r="34" spans="1:8" x14ac:dyDescent="0.25">
      <c r="A34" s="2" t="s">
        <v>57</v>
      </c>
      <c r="B34" s="4">
        <f>COUNTIF([1]Dataset!$A$2:$A$201,$A34)</f>
        <v>9</v>
      </c>
      <c r="C34" s="3">
        <f>SUMIFS([1]Dataset!$E$2:$E$201,[1]Dataset!$A$2:$A$201,$A34)</f>
        <v>7928.71</v>
      </c>
      <c r="D34" s="3">
        <f>SUMIFS([1]Analysis!$K$2:$K$201,[1]Analysis!$A$2:$A$201,$A34)</f>
        <v>7206.6115000000009</v>
      </c>
      <c r="E34" s="3">
        <f>SUMIFS([1]Dataset!$I$2:$I$201,[1]Dataset!$A$2:$A$201,$A34)</f>
        <v>2965.4799999999996</v>
      </c>
      <c r="F34" s="3">
        <f t="shared" si="0"/>
        <v>800.73461111111124</v>
      </c>
      <c r="G34" s="4">
        <f t="shared" si="1"/>
        <v>9</v>
      </c>
      <c r="H34" s="2" t="str">
        <f t="shared" si="2"/>
        <v>High Value</v>
      </c>
    </row>
    <row r="36" spans="1:8" x14ac:dyDescent="0.25">
      <c r="A36" s="13" t="s">
        <v>58</v>
      </c>
      <c r="B36" s="16">
        <f>SUM(B5:B34)</f>
        <v>200</v>
      </c>
      <c r="C36" s="14">
        <f>SUM(C5:C34)</f>
        <v>195217.75999999995</v>
      </c>
      <c r="D36" s="14">
        <f>SUM(D5:D34)</f>
        <v>175945.00250000003</v>
      </c>
      <c r="E36" s="14">
        <f>SUM(E5:E34)</f>
        <v>68287.009999999995</v>
      </c>
    </row>
  </sheetData>
  <conditionalFormatting sqref="D5:D34">
    <cfRule type="top10" dxfId="51" priority="1" rank="10"/>
  </conditionalFormatting>
  <conditionalFormatting sqref="H5:H34">
    <cfRule type="cellIs" dxfId="50" priority="2" operator="equal">
      <formula>"High Value"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8603-0576-406E-A4A3-225D1E7B30AD}">
  <dimension ref="A1:G36"/>
  <sheetViews>
    <sheetView topLeftCell="A21" workbookViewId="0">
      <selection activeCell="A22" sqref="A22:F22"/>
    </sheetView>
  </sheetViews>
  <sheetFormatPr defaultRowHeight="15" x14ac:dyDescent="0.25"/>
  <cols>
    <col min="1" max="1" width="16" customWidth="1"/>
    <col min="2" max="3" width="15" customWidth="1"/>
    <col min="4" max="4" width="17.7109375" customWidth="1"/>
    <col min="5" max="5" width="18.85546875" customWidth="1"/>
    <col min="6" max="6" width="16.85546875" customWidth="1"/>
    <col min="7" max="7" width="13.85546875" customWidth="1"/>
    <col min="8" max="8" width="13" customWidth="1"/>
  </cols>
  <sheetData>
    <row r="1" spans="1:7" ht="20.25" x14ac:dyDescent="0.3">
      <c r="A1" s="9" t="s">
        <v>59</v>
      </c>
    </row>
    <row r="2" spans="1:7" x14ac:dyDescent="0.25">
      <c r="A2" s="10" t="s">
        <v>60</v>
      </c>
    </row>
    <row r="3" spans="1:7" x14ac:dyDescent="0.25">
      <c r="A3" s="60" t="s">
        <v>2</v>
      </c>
      <c r="B3" s="59" t="s">
        <v>18</v>
      </c>
      <c r="C3" s="61" t="s">
        <v>61</v>
      </c>
      <c r="E3" s="60" t="s">
        <v>62</v>
      </c>
      <c r="F3" s="59" t="s">
        <v>18</v>
      </c>
      <c r="G3" s="61" t="s">
        <v>61</v>
      </c>
    </row>
    <row r="4" spans="1:7" x14ac:dyDescent="0.25">
      <c r="A4" s="48" t="s">
        <v>63</v>
      </c>
      <c r="B4" s="3">
        <f>SUMIFS([1]Dataset!$E$2:$E$201,[1]Dataset!$C$2:$C$201,$A4)</f>
        <v>43468.33</v>
      </c>
      <c r="C4" s="66">
        <f>B4/$B$9</f>
        <v>0.22266585786047335</v>
      </c>
      <c r="E4" s="48" t="s">
        <v>64</v>
      </c>
      <c r="F4" s="3">
        <f>SUMIFS([1]Dataset!$E$2:$E$201,[1]Dataset!$D$2:$D$201,$E4)</f>
        <v>47002.460000000006</v>
      </c>
      <c r="G4" s="66">
        <f>F4/$F$9</f>
        <v>0.24076938491661826</v>
      </c>
    </row>
    <row r="5" spans="1:7" x14ac:dyDescent="0.25">
      <c r="A5" s="48" t="s">
        <v>65</v>
      </c>
      <c r="B5" s="3">
        <f>SUMIFS([1]Dataset!$E$2:$E$201,[1]Dataset!$C$2:$C$201,$A5)</f>
        <v>32441.64</v>
      </c>
      <c r="C5" s="66">
        <f>B5/$B$9</f>
        <v>0.16618180640941685</v>
      </c>
      <c r="E5" s="48" t="s">
        <v>66</v>
      </c>
      <c r="F5" s="3">
        <f>SUMIFS([1]Dataset!$E$2:$E$201,[1]Dataset!$D$2:$D$201,$E5)</f>
        <v>41927.589999999989</v>
      </c>
      <c r="G5" s="66">
        <f>F5/$F$9</f>
        <v>0.21477344069514981</v>
      </c>
    </row>
    <row r="6" spans="1:7" x14ac:dyDescent="0.25">
      <c r="A6" s="48" t="s">
        <v>67</v>
      </c>
      <c r="B6" s="3">
        <f>SUMIFS([1]Dataset!$E$2:$E$201,[1]Dataset!$C$2:$C$201,$A6)</f>
        <v>34975.42</v>
      </c>
      <c r="C6" s="66">
        <f>B6/$B$9</f>
        <v>0.17916105583836223</v>
      </c>
      <c r="E6" s="48" t="s">
        <v>68</v>
      </c>
      <c r="F6" s="3">
        <f>SUMIFS([1]Dataset!$E$2:$E$201,[1]Dataset!$D$2:$D$201,$E6)</f>
        <v>41044.000000000007</v>
      </c>
      <c r="G6" s="66">
        <f>F6/$F$9</f>
        <v>0.21024726438824012</v>
      </c>
    </row>
    <row r="7" spans="1:7" x14ac:dyDescent="0.25">
      <c r="A7" s="48" t="s">
        <v>69</v>
      </c>
      <c r="B7" s="3">
        <f>SUMIFS([1]Dataset!$E$2:$E$201,[1]Dataset!$C$2:$C$201,$A7)</f>
        <v>40248.79</v>
      </c>
      <c r="C7" s="66">
        <f>B7/$B$9</f>
        <v>0.20617381328420117</v>
      </c>
      <c r="E7" s="48" t="s">
        <v>70</v>
      </c>
      <c r="F7" s="3">
        <f>SUMIFS([1]Dataset!$E$2:$E$201,[1]Dataset!$D$2:$D$201,$E7)</f>
        <v>36612.89</v>
      </c>
      <c r="G7" s="66">
        <f>F7/$F$9</f>
        <v>0.18754897095428202</v>
      </c>
    </row>
    <row r="8" spans="1:7" x14ac:dyDescent="0.25">
      <c r="A8" s="48" t="s">
        <v>71</v>
      </c>
      <c r="B8" s="3">
        <f>SUMIFS([1]Dataset!$E$2:$E$201,[1]Dataset!$C$2:$C$201,$A8)</f>
        <v>44083.58</v>
      </c>
      <c r="C8" s="66">
        <f>B8/$B$9</f>
        <v>0.22581746660754637</v>
      </c>
      <c r="E8" s="48" t="s">
        <v>72</v>
      </c>
      <c r="F8" s="3">
        <f>SUMIFS([1]Dataset!$E$2:$E$201,[1]Dataset!$D$2:$D$201,$E8)</f>
        <v>28630.819999999992</v>
      </c>
      <c r="G8" s="66">
        <f>F8/$F$9</f>
        <v>0.14666093904570973</v>
      </c>
    </row>
    <row r="9" spans="1:7" x14ac:dyDescent="0.25">
      <c r="A9" s="63" t="s">
        <v>73</v>
      </c>
      <c r="B9" s="67">
        <f>SUM(B4:B8)</f>
        <v>195217.76</v>
      </c>
      <c r="C9" s="68">
        <f>SUM(C4:C8)</f>
        <v>1</v>
      </c>
      <c r="E9" s="63" t="s">
        <v>73</v>
      </c>
      <c r="F9" s="67">
        <f>SUM(F4:F8)</f>
        <v>195217.76</v>
      </c>
      <c r="G9" s="68">
        <f>SUM(G4:G8)</f>
        <v>1</v>
      </c>
    </row>
    <row r="11" spans="1:7" x14ac:dyDescent="0.25">
      <c r="A11" s="17" t="s">
        <v>74</v>
      </c>
    </row>
    <row r="12" spans="1:7" ht="25.5" x14ac:dyDescent="0.25">
      <c r="A12" s="60" t="s">
        <v>2</v>
      </c>
      <c r="B12" s="59" t="s">
        <v>64</v>
      </c>
      <c r="C12" s="59" t="s">
        <v>66</v>
      </c>
      <c r="D12" s="59" t="s">
        <v>68</v>
      </c>
      <c r="E12" s="59" t="s">
        <v>70</v>
      </c>
      <c r="F12" s="59" t="s">
        <v>72</v>
      </c>
      <c r="G12" s="61" t="s">
        <v>73</v>
      </c>
    </row>
    <row r="13" spans="1:7" x14ac:dyDescent="0.25">
      <c r="A13" s="48" t="s">
        <v>63</v>
      </c>
      <c r="B13" s="18">
        <f>SUMIFS([1]Dataset!$E$2:$E$201,[1]Dataset!$C$2:$C$201,$A13,[1]Dataset!$D$2:$D$201,B$12)</f>
        <v>11297.150000000001</v>
      </c>
      <c r="C13" s="18">
        <f>SUMIFS([1]Dataset!$E$2:$E$201,[1]Dataset!$C$2:$C$201,$A13,[1]Dataset!$D$2:$D$201,C$12)</f>
        <v>12200.26</v>
      </c>
      <c r="D13" s="18">
        <f>SUMIFS([1]Dataset!$E$2:$E$201,[1]Dataset!$C$2:$C$201,$A13,[1]Dataset!$D$2:$D$201,D$12)</f>
        <v>6621.24</v>
      </c>
      <c r="E13" s="18">
        <f>SUMIFS([1]Dataset!$E$2:$E$201,[1]Dataset!$C$2:$C$201,$A13,[1]Dataset!$D$2:$D$201,E$12)</f>
        <v>4876.96</v>
      </c>
      <c r="F13" s="18">
        <f>SUMIFS([1]Dataset!$E$2:$E$201,[1]Dataset!$C$2:$C$201,$A13,[1]Dataset!$D$2:$D$201,F$12)</f>
        <v>8472.7199999999993</v>
      </c>
      <c r="G13" s="62">
        <f>SUM(B13:F13)</f>
        <v>43468.33</v>
      </c>
    </row>
    <row r="14" spans="1:7" x14ac:dyDescent="0.25">
      <c r="A14" s="48" t="s">
        <v>65</v>
      </c>
      <c r="B14" s="18">
        <f>SUMIFS([1]Dataset!$E$2:$E$201,[1]Dataset!$C$2:$C$201,$A14,[1]Dataset!$D$2:$D$201,B$12)</f>
        <v>11389.090000000002</v>
      </c>
      <c r="C14" s="18">
        <f>SUMIFS([1]Dataset!$E$2:$E$201,[1]Dataset!$C$2:$C$201,$A14,[1]Dataset!$D$2:$D$201,C$12)</f>
        <v>2401.4499999999998</v>
      </c>
      <c r="D14" s="18">
        <f>SUMIFS([1]Dataset!$E$2:$E$201,[1]Dataset!$C$2:$C$201,$A14,[1]Dataset!$D$2:$D$201,D$12)</f>
        <v>2869.54</v>
      </c>
      <c r="E14" s="18">
        <f>SUMIFS([1]Dataset!$E$2:$E$201,[1]Dataset!$C$2:$C$201,$A14,[1]Dataset!$D$2:$D$201,E$12)</f>
        <v>7592.3399999999992</v>
      </c>
      <c r="F14" s="18">
        <f>SUMIFS([1]Dataset!$E$2:$E$201,[1]Dataset!$C$2:$C$201,$A14,[1]Dataset!$D$2:$D$201,F$12)</f>
        <v>8189.2200000000012</v>
      </c>
      <c r="G14" s="62">
        <f>SUM(B14:F14)</f>
        <v>32441.640000000003</v>
      </c>
    </row>
    <row r="15" spans="1:7" x14ac:dyDescent="0.25">
      <c r="A15" s="48" t="s">
        <v>67</v>
      </c>
      <c r="B15" s="18">
        <f>SUMIFS([1]Dataset!$E$2:$E$201,[1]Dataset!$C$2:$C$201,$A15,[1]Dataset!$D$2:$D$201,B$12)</f>
        <v>8037.0100000000011</v>
      </c>
      <c r="C15" s="18">
        <f>SUMIFS([1]Dataset!$E$2:$E$201,[1]Dataset!$C$2:$C$201,$A15,[1]Dataset!$D$2:$D$201,C$12)</f>
        <v>8422.82</v>
      </c>
      <c r="D15" s="18">
        <f>SUMIFS([1]Dataset!$E$2:$E$201,[1]Dataset!$C$2:$C$201,$A15,[1]Dataset!$D$2:$D$201,D$12)</f>
        <v>8191.7099999999991</v>
      </c>
      <c r="E15" s="18">
        <f>SUMIFS([1]Dataset!$E$2:$E$201,[1]Dataset!$C$2:$C$201,$A15,[1]Dataset!$D$2:$D$201,E$12)</f>
        <v>6978.08</v>
      </c>
      <c r="F15" s="18">
        <f>SUMIFS([1]Dataset!$E$2:$E$201,[1]Dataset!$C$2:$C$201,$A15,[1]Dataset!$D$2:$D$201,F$12)</f>
        <v>3345.8</v>
      </c>
      <c r="G15" s="62">
        <f>SUM(B15:F15)</f>
        <v>34975.420000000006</v>
      </c>
    </row>
    <row r="16" spans="1:7" x14ac:dyDescent="0.25">
      <c r="A16" s="48" t="s">
        <v>69</v>
      </c>
      <c r="B16" s="18">
        <f>SUMIFS([1]Dataset!$E$2:$E$201,[1]Dataset!$C$2:$C$201,$A16,[1]Dataset!$D$2:$D$201,B$12)</f>
        <v>9588.0400000000009</v>
      </c>
      <c r="C16" s="18">
        <f>SUMIFS([1]Dataset!$E$2:$E$201,[1]Dataset!$C$2:$C$201,$A16,[1]Dataset!$D$2:$D$201,C$12)</f>
        <v>8393.630000000001</v>
      </c>
      <c r="D16" s="18">
        <f>SUMIFS([1]Dataset!$E$2:$E$201,[1]Dataset!$C$2:$C$201,$A16,[1]Dataset!$D$2:$D$201,D$12)</f>
        <v>11989.070000000003</v>
      </c>
      <c r="E16" s="18">
        <f>SUMIFS([1]Dataset!$E$2:$E$201,[1]Dataset!$C$2:$C$201,$A16,[1]Dataset!$D$2:$D$201,E$12)</f>
        <v>7982.73</v>
      </c>
      <c r="F16" s="18">
        <f>SUMIFS([1]Dataset!$E$2:$E$201,[1]Dataset!$C$2:$C$201,$A16,[1]Dataset!$D$2:$D$201,F$12)</f>
        <v>2295.3199999999997</v>
      </c>
      <c r="G16" s="62">
        <f>SUM(B16:F16)</f>
        <v>40248.79</v>
      </c>
    </row>
    <row r="17" spans="1:7" x14ac:dyDescent="0.25">
      <c r="A17" s="48" t="s">
        <v>71</v>
      </c>
      <c r="B17" s="18">
        <f>SUMIFS([1]Dataset!$E$2:$E$201,[1]Dataset!$C$2:$C$201,$A17,[1]Dataset!$D$2:$D$201,B$12)</f>
        <v>6691.17</v>
      </c>
      <c r="C17" s="18">
        <f>SUMIFS([1]Dataset!$E$2:$E$201,[1]Dataset!$C$2:$C$201,$A17,[1]Dataset!$D$2:$D$201,C$12)</f>
        <v>10509.429999999998</v>
      </c>
      <c r="D17" s="18">
        <f>SUMIFS([1]Dataset!$E$2:$E$201,[1]Dataset!$C$2:$C$201,$A17,[1]Dataset!$D$2:$D$201,D$12)</f>
        <v>11372.44</v>
      </c>
      <c r="E17" s="18">
        <f>SUMIFS([1]Dataset!$E$2:$E$201,[1]Dataset!$C$2:$C$201,$A17,[1]Dataset!$D$2:$D$201,E$12)</f>
        <v>9182.7800000000007</v>
      </c>
      <c r="F17" s="18">
        <f>SUMIFS([1]Dataset!$E$2:$E$201,[1]Dataset!$C$2:$C$201,$A17,[1]Dataset!$D$2:$D$201,F$12)</f>
        <v>6327.76</v>
      </c>
      <c r="G17" s="62">
        <f>SUM(B17:F17)</f>
        <v>44083.58</v>
      </c>
    </row>
    <row r="18" spans="1:7" x14ac:dyDescent="0.25">
      <c r="A18" s="63" t="s">
        <v>73</v>
      </c>
      <c r="B18" s="64">
        <f t="shared" ref="B18:G18" si="0">SUM(B13:B17)</f>
        <v>47002.460000000006</v>
      </c>
      <c r="C18" s="64">
        <f t="shared" si="0"/>
        <v>41927.589999999997</v>
      </c>
      <c r="D18" s="64">
        <f t="shared" si="0"/>
        <v>41044</v>
      </c>
      <c r="E18" s="64">
        <f t="shared" si="0"/>
        <v>36612.89</v>
      </c>
      <c r="F18" s="64">
        <f t="shared" si="0"/>
        <v>28630.82</v>
      </c>
      <c r="G18" s="65">
        <f t="shared" si="0"/>
        <v>195217.76</v>
      </c>
    </row>
    <row r="19" spans="1:7" x14ac:dyDescent="0.25">
      <c r="A19" s="10" t="s">
        <v>75</v>
      </c>
      <c r="B19" s="10">
        <f>ROUND(G18-SUM([1]Dataset!$E$2:$E$201),2)</f>
        <v>0</v>
      </c>
    </row>
    <row r="21" spans="1:7" x14ac:dyDescent="0.25">
      <c r="A21" s="17" t="s">
        <v>76</v>
      </c>
    </row>
    <row r="22" spans="1:7" x14ac:dyDescent="0.25">
      <c r="A22" s="60" t="s">
        <v>77</v>
      </c>
      <c r="B22" s="59" t="s">
        <v>78</v>
      </c>
      <c r="C22" s="59" t="s">
        <v>18</v>
      </c>
      <c r="D22" s="59" t="s">
        <v>79</v>
      </c>
      <c r="E22" s="59" t="s">
        <v>17</v>
      </c>
      <c r="F22" s="61" t="s">
        <v>8</v>
      </c>
    </row>
    <row r="23" spans="1:7" x14ac:dyDescent="0.25">
      <c r="A23" s="48" t="str">
        <f t="shared" ref="A23:A35" si="1">TEXT(B23,"mmm yyyy")</f>
        <v>Apr 2024</v>
      </c>
      <c r="B23" s="19">
        <f>DATE(YEAR(MIN([1]Dataset!$H$2:$H$201)),MONTH(MIN([1]Dataset!$H$2:$H$201)),1)</f>
        <v>45383</v>
      </c>
      <c r="C23" s="3">
        <f>SUMIFS([1]Dataset!$E$2:$E$201,[1]Dataset!$H$2:$H$201,"&gt;="&amp;B23,[1]Dataset!$H$2:$H$201,"&lt;"&amp;EDATE(B23,1))</f>
        <v>19029.96</v>
      </c>
      <c r="D23" s="20" t="str">
        <f>"–"</f>
        <v>–</v>
      </c>
      <c r="E23" s="4">
        <f>COUNTIFS([1]Dataset!$H$2:$H$201,"&gt;="&amp;B23,[1]Dataset!$H$2:$H$201,"&lt;"&amp;EDATE(B23,1))</f>
        <v>19</v>
      </c>
      <c r="F23" s="69">
        <f>SUMIFS([1]Dataset!$I$2:$I$201,[1]Dataset!$H$2:$H$201,"&gt;="&amp;B23,[1]Dataset!$H$2:$H$201,"&lt;"&amp;EDATE(B23,1))</f>
        <v>6244.01</v>
      </c>
    </row>
    <row r="24" spans="1:7" x14ac:dyDescent="0.25">
      <c r="A24" s="48" t="str">
        <f t="shared" si="1"/>
        <v>May 2024</v>
      </c>
      <c r="B24" s="19">
        <f t="shared" ref="B24:B35" si="2">EDATE(B23,1)</f>
        <v>45413</v>
      </c>
      <c r="C24" s="3">
        <f>SUMIFS([1]Dataset!$E$2:$E$201,[1]Dataset!$H$2:$H$201,"&gt;="&amp;B24,[1]Dataset!$H$2:$H$201,"&lt;"&amp;EDATE(B24,1))</f>
        <v>18507.339999999997</v>
      </c>
      <c r="D24" s="20">
        <f t="shared" ref="D24:D35" si="3">IF(C23=0,0,(C24-C23)/C23)</f>
        <v>-2.7463010957458799E-2</v>
      </c>
      <c r="E24" s="4">
        <f>COUNTIFS([1]Dataset!$H$2:$H$201,"&gt;="&amp;B24,[1]Dataset!$H$2:$H$201,"&lt;"&amp;EDATE(B24,1))</f>
        <v>21</v>
      </c>
      <c r="F24" s="69">
        <f>SUMIFS([1]Dataset!$I$2:$I$201,[1]Dataset!$H$2:$H$201,"&gt;="&amp;B24,[1]Dataset!$H$2:$H$201,"&lt;"&amp;EDATE(B24,1))</f>
        <v>6121.3499999999995</v>
      </c>
    </row>
    <row r="25" spans="1:7" x14ac:dyDescent="0.25">
      <c r="A25" s="48" t="str">
        <f t="shared" si="1"/>
        <v>Jun 2024</v>
      </c>
      <c r="B25" s="19">
        <f t="shared" si="2"/>
        <v>45444</v>
      </c>
      <c r="C25" s="3">
        <f>SUMIFS([1]Dataset!$E$2:$E$201,[1]Dataset!$H$2:$H$201,"&gt;="&amp;B25,[1]Dataset!$H$2:$H$201,"&lt;"&amp;EDATE(B25,1))</f>
        <v>20187.509999999998</v>
      </c>
      <c r="D25" s="20">
        <f t="shared" si="3"/>
        <v>9.0783980842195702E-2</v>
      </c>
      <c r="E25" s="4">
        <f>COUNTIFS([1]Dataset!$H$2:$H$201,"&gt;="&amp;B25,[1]Dataset!$H$2:$H$201,"&lt;"&amp;EDATE(B25,1))</f>
        <v>20</v>
      </c>
      <c r="F25" s="69">
        <f>SUMIFS([1]Dataset!$I$2:$I$201,[1]Dataset!$H$2:$H$201,"&gt;="&amp;B25,[1]Dataset!$H$2:$H$201,"&lt;"&amp;EDATE(B25,1))</f>
        <v>6918</v>
      </c>
    </row>
    <row r="26" spans="1:7" x14ac:dyDescent="0.25">
      <c r="A26" s="48" t="str">
        <f t="shared" si="1"/>
        <v>Jul 2024</v>
      </c>
      <c r="B26" s="19">
        <f t="shared" si="2"/>
        <v>45474</v>
      </c>
      <c r="C26" s="3">
        <f>SUMIFS([1]Dataset!$E$2:$E$201,[1]Dataset!$H$2:$H$201,"&gt;="&amp;B26,[1]Dataset!$H$2:$H$201,"&lt;"&amp;EDATE(B26,1))</f>
        <v>11609.039999999999</v>
      </c>
      <c r="D26" s="20">
        <f t="shared" si="3"/>
        <v>-0.42493947990614001</v>
      </c>
      <c r="E26" s="4">
        <f>COUNTIFS([1]Dataset!$H$2:$H$201,"&gt;="&amp;B26,[1]Dataset!$H$2:$H$201,"&lt;"&amp;EDATE(B26,1))</f>
        <v>12</v>
      </c>
      <c r="F26" s="69">
        <f>SUMIFS([1]Dataset!$I$2:$I$201,[1]Dataset!$H$2:$H$201,"&gt;="&amp;B26,[1]Dataset!$H$2:$H$201,"&lt;"&amp;EDATE(B26,1))</f>
        <v>3743.85</v>
      </c>
    </row>
    <row r="27" spans="1:7" x14ac:dyDescent="0.25">
      <c r="A27" s="48" t="str">
        <f t="shared" si="1"/>
        <v>Aug 2024</v>
      </c>
      <c r="B27" s="19">
        <f t="shared" si="2"/>
        <v>45505</v>
      </c>
      <c r="C27" s="3">
        <f>SUMIFS([1]Dataset!$E$2:$E$201,[1]Dataset!$H$2:$H$201,"&gt;="&amp;B27,[1]Dataset!$H$2:$H$201,"&lt;"&amp;EDATE(B27,1))</f>
        <v>10091.699999999999</v>
      </c>
      <c r="D27" s="20">
        <f t="shared" si="3"/>
        <v>-0.13070331396911375</v>
      </c>
      <c r="E27" s="4">
        <f>COUNTIFS([1]Dataset!$H$2:$H$201,"&gt;="&amp;B27,[1]Dataset!$H$2:$H$201,"&lt;"&amp;EDATE(B27,1))</f>
        <v>10</v>
      </c>
      <c r="F27" s="69">
        <f>SUMIFS([1]Dataset!$I$2:$I$201,[1]Dataset!$H$2:$H$201,"&gt;="&amp;B27,[1]Dataset!$H$2:$H$201,"&lt;"&amp;EDATE(B27,1))</f>
        <v>3302.84</v>
      </c>
    </row>
    <row r="28" spans="1:7" x14ac:dyDescent="0.25">
      <c r="A28" s="48" t="str">
        <f t="shared" si="1"/>
        <v>Sep 2024</v>
      </c>
      <c r="B28" s="19">
        <f t="shared" si="2"/>
        <v>45536</v>
      </c>
      <c r="C28" s="3">
        <f>SUMIFS([1]Dataset!$E$2:$E$201,[1]Dataset!$H$2:$H$201,"&gt;="&amp;B28,[1]Dataset!$H$2:$H$201,"&lt;"&amp;EDATE(B28,1))</f>
        <v>20533.499999999996</v>
      </c>
      <c r="D28" s="20">
        <f t="shared" si="3"/>
        <v>1.0346918755016496</v>
      </c>
      <c r="E28" s="4">
        <f>COUNTIFS([1]Dataset!$H$2:$H$201,"&gt;="&amp;B28,[1]Dataset!$H$2:$H$201,"&lt;"&amp;EDATE(B28,1))</f>
        <v>20</v>
      </c>
      <c r="F28" s="69">
        <f>SUMIFS([1]Dataset!$I$2:$I$201,[1]Dataset!$H$2:$H$201,"&gt;="&amp;B28,[1]Dataset!$H$2:$H$201,"&lt;"&amp;EDATE(B28,1))</f>
        <v>7457.5199999999995</v>
      </c>
    </row>
    <row r="29" spans="1:7" x14ac:dyDescent="0.25">
      <c r="A29" s="48" t="str">
        <f t="shared" si="1"/>
        <v>Oct 2024</v>
      </c>
      <c r="B29" s="19">
        <f t="shared" si="2"/>
        <v>45566</v>
      </c>
      <c r="C29" s="3">
        <f>SUMIFS([1]Dataset!$E$2:$E$201,[1]Dataset!$H$2:$H$201,"&gt;="&amp;B29,[1]Dataset!$H$2:$H$201,"&lt;"&amp;EDATE(B29,1))</f>
        <v>14215.240000000002</v>
      </c>
      <c r="D29" s="20">
        <f t="shared" si="3"/>
        <v>-0.30770496992719193</v>
      </c>
      <c r="E29" s="4">
        <f>COUNTIFS([1]Dataset!$H$2:$H$201,"&gt;="&amp;B29,[1]Dataset!$H$2:$H$201,"&lt;"&amp;EDATE(B29,1))</f>
        <v>14</v>
      </c>
      <c r="F29" s="69">
        <f>SUMIFS([1]Dataset!$I$2:$I$201,[1]Dataset!$H$2:$H$201,"&gt;="&amp;B29,[1]Dataset!$H$2:$H$201,"&lt;"&amp;EDATE(B29,1))</f>
        <v>4861.7</v>
      </c>
    </row>
    <row r="30" spans="1:7" x14ac:dyDescent="0.25">
      <c r="A30" s="48" t="str">
        <f t="shared" si="1"/>
        <v>Nov 2024</v>
      </c>
      <c r="B30" s="19">
        <f t="shared" si="2"/>
        <v>45597</v>
      </c>
      <c r="C30" s="3">
        <f>SUMIFS([1]Dataset!$E$2:$E$201,[1]Dataset!$H$2:$H$201,"&gt;="&amp;B30,[1]Dataset!$H$2:$H$201,"&lt;"&amp;EDATE(B30,1))</f>
        <v>20135.030000000002</v>
      </c>
      <c r="D30" s="20">
        <f t="shared" si="3"/>
        <v>0.4164396802305132</v>
      </c>
      <c r="E30" s="4">
        <f>COUNTIFS([1]Dataset!$H$2:$H$201,"&gt;="&amp;B30,[1]Dataset!$H$2:$H$201,"&lt;"&amp;EDATE(B30,1))</f>
        <v>20</v>
      </c>
      <c r="F30" s="69">
        <f>SUMIFS([1]Dataset!$I$2:$I$201,[1]Dataset!$H$2:$H$201,"&gt;="&amp;B30,[1]Dataset!$H$2:$H$201,"&lt;"&amp;EDATE(B30,1))</f>
        <v>6814.8799999999992</v>
      </c>
    </row>
    <row r="31" spans="1:7" x14ac:dyDescent="0.25">
      <c r="A31" s="48" t="str">
        <f t="shared" si="1"/>
        <v>Dec 2024</v>
      </c>
      <c r="B31" s="19">
        <f t="shared" si="2"/>
        <v>45627</v>
      </c>
      <c r="C31" s="3">
        <f>SUMIFS([1]Dataset!$E$2:$E$201,[1]Dataset!$H$2:$H$201,"&gt;="&amp;B31,[1]Dataset!$H$2:$H$201,"&lt;"&amp;EDATE(B31,1))</f>
        <v>11120.04</v>
      </c>
      <c r="D31" s="20">
        <f t="shared" si="3"/>
        <v>-0.44772667336477773</v>
      </c>
      <c r="E31" s="4">
        <f>COUNTIFS([1]Dataset!$H$2:$H$201,"&gt;="&amp;B31,[1]Dataset!$H$2:$H$201,"&lt;"&amp;EDATE(B31,1))</f>
        <v>11</v>
      </c>
      <c r="F31" s="69">
        <f>SUMIFS([1]Dataset!$I$2:$I$201,[1]Dataset!$H$2:$H$201,"&gt;="&amp;B31,[1]Dataset!$H$2:$H$201,"&lt;"&amp;EDATE(B31,1))</f>
        <v>3549.99</v>
      </c>
    </row>
    <row r="32" spans="1:7" x14ac:dyDescent="0.25">
      <c r="A32" s="48" t="str">
        <f t="shared" si="1"/>
        <v>Jan 2025</v>
      </c>
      <c r="B32" s="19">
        <f t="shared" si="2"/>
        <v>45658</v>
      </c>
      <c r="C32" s="3">
        <f>SUMIFS([1]Dataset!$E$2:$E$201,[1]Dataset!$H$2:$H$201,"&gt;="&amp;B32,[1]Dataset!$H$2:$H$201,"&lt;"&amp;EDATE(B32,1))</f>
        <v>14914.650000000001</v>
      </c>
      <c r="D32" s="20">
        <f t="shared" si="3"/>
        <v>0.34124067899036337</v>
      </c>
      <c r="E32" s="4">
        <f>COUNTIFS([1]Dataset!$H$2:$H$201,"&gt;="&amp;B32,[1]Dataset!$H$2:$H$201,"&lt;"&amp;EDATE(B32,1))</f>
        <v>16</v>
      </c>
      <c r="F32" s="69">
        <f>SUMIFS([1]Dataset!$I$2:$I$201,[1]Dataset!$H$2:$H$201,"&gt;="&amp;B32,[1]Dataset!$H$2:$H$201,"&lt;"&amp;EDATE(B32,1))</f>
        <v>5763.4</v>
      </c>
    </row>
    <row r="33" spans="1:6" x14ac:dyDescent="0.25">
      <c r="A33" s="48" t="str">
        <f t="shared" si="1"/>
        <v>Feb 2025</v>
      </c>
      <c r="B33" s="19">
        <f t="shared" si="2"/>
        <v>45689</v>
      </c>
      <c r="C33" s="3">
        <f>SUMIFS([1]Dataset!$E$2:$E$201,[1]Dataset!$H$2:$H$201,"&gt;="&amp;B33,[1]Dataset!$H$2:$H$201,"&lt;"&amp;EDATE(B33,1))</f>
        <v>14006.359999999999</v>
      </c>
      <c r="D33" s="20">
        <f t="shared" si="3"/>
        <v>-6.0899183018039482E-2</v>
      </c>
      <c r="E33" s="4">
        <f>COUNTIFS([1]Dataset!$H$2:$H$201,"&gt;="&amp;B33,[1]Dataset!$H$2:$H$201,"&lt;"&amp;EDATE(B33,1))</f>
        <v>14</v>
      </c>
      <c r="F33" s="69">
        <f>SUMIFS([1]Dataset!$I$2:$I$201,[1]Dataset!$H$2:$H$201,"&gt;="&amp;B33,[1]Dataset!$H$2:$H$201,"&lt;"&amp;EDATE(B33,1))</f>
        <v>5039.2299999999996</v>
      </c>
    </row>
    <row r="34" spans="1:6" x14ac:dyDescent="0.25">
      <c r="A34" s="48" t="str">
        <f t="shared" si="1"/>
        <v>Mar 2025</v>
      </c>
      <c r="B34" s="19">
        <f t="shared" si="2"/>
        <v>45717</v>
      </c>
      <c r="C34" s="3">
        <f>SUMIFS([1]Dataset!$E$2:$E$201,[1]Dataset!$H$2:$H$201,"&gt;="&amp;B34,[1]Dataset!$H$2:$H$201,"&lt;"&amp;EDATE(B34,1))</f>
        <v>17655.219999999998</v>
      </c>
      <c r="D34" s="20">
        <f t="shared" si="3"/>
        <v>0.26051450912299834</v>
      </c>
      <c r="E34" s="4">
        <f>COUNTIFS([1]Dataset!$H$2:$H$201,"&gt;="&amp;B34,[1]Dataset!$H$2:$H$201,"&lt;"&amp;EDATE(B34,1))</f>
        <v>19</v>
      </c>
      <c r="F34" s="69">
        <f>SUMIFS([1]Dataset!$I$2:$I$201,[1]Dataset!$H$2:$H$201,"&gt;="&amp;B34,[1]Dataset!$H$2:$H$201,"&lt;"&amp;EDATE(B34,1))</f>
        <v>7071.39</v>
      </c>
    </row>
    <row r="35" spans="1:6" x14ac:dyDescent="0.25">
      <c r="A35" s="48" t="str">
        <f t="shared" si="1"/>
        <v>Apr 2025</v>
      </c>
      <c r="B35" s="19">
        <f t="shared" si="2"/>
        <v>45748</v>
      </c>
      <c r="C35" s="3">
        <f>SUMIFS([1]Dataset!$E$2:$E$201,[1]Dataset!$H$2:$H$201,"&gt;="&amp;B35,[1]Dataset!$H$2:$H$201,"&lt;"&amp;EDATE(B35,1))</f>
        <v>3212.17</v>
      </c>
      <c r="D35" s="20">
        <f t="shared" si="3"/>
        <v>-0.81806117397574196</v>
      </c>
      <c r="E35" s="4">
        <f>COUNTIFS([1]Dataset!$H$2:$H$201,"&gt;="&amp;B35,[1]Dataset!$H$2:$H$201,"&lt;"&amp;EDATE(B35,1))</f>
        <v>4</v>
      </c>
      <c r="F35" s="69">
        <f>SUMIFS([1]Dataset!$I$2:$I$201,[1]Dataset!$H$2:$H$201,"&gt;="&amp;B35,[1]Dataset!$H$2:$H$201,"&lt;"&amp;EDATE(B35,1))</f>
        <v>1398.85</v>
      </c>
    </row>
    <row r="36" spans="1:6" x14ac:dyDescent="0.25">
      <c r="A36" s="63" t="s">
        <v>73</v>
      </c>
      <c r="B36" s="70"/>
      <c r="C36" s="67">
        <f>SUM(C23:C35)</f>
        <v>195217.76</v>
      </c>
      <c r="D36" s="71"/>
      <c r="E36" s="72">
        <f>SUM(E23:E35)</f>
        <v>200</v>
      </c>
      <c r="F36" s="73">
        <f>SUM(F23:F35)</f>
        <v>68287.009999999995</v>
      </c>
    </row>
  </sheetData>
  <conditionalFormatting sqref="B13:F17">
    <cfRule type="colorScale" priority="1">
      <colorScale>
        <cfvo type="min"/>
        <cfvo type="max"/>
        <color rgb="FFFFFFFF"/>
        <color rgb="FF9BC2E6"/>
      </colorScale>
    </cfRule>
  </conditionalFormatting>
  <conditionalFormatting sqref="D24:D35">
    <cfRule type="cellIs" dxfId="49" priority="2" operator="greaterThan">
      <formula>0</formula>
    </cfRule>
    <cfRule type="cellIs" dxfId="48" priority="3" operator="lessThan">
      <formula>0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AA07-4877-42D0-B205-60AEFF0B62B0}">
  <dimension ref="A1:G18"/>
  <sheetViews>
    <sheetView workbookViewId="0">
      <selection activeCell="A8" sqref="A8"/>
    </sheetView>
  </sheetViews>
  <sheetFormatPr defaultRowHeight="15" x14ac:dyDescent="0.25"/>
  <cols>
    <col min="1" max="1" width="46" customWidth="1"/>
    <col min="2" max="2" width="16" customWidth="1"/>
    <col min="3" max="3" width="3" customWidth="1"/>
    <col min="4" max="4" width="15.5703125" customWidth="1"/>
    <col min="5" max="5" width="16" customWidth="1"/>
    <col min="6" max="6" width="19.85546875" customWidth="1"/>
    <col min="7" max="7" width="12.140625" customWidth="1"/>
  </cols>
  <sheetData>
    <row r="1" spans="1:7" ht="20.25" x14ac:dyDescent="0.3">
      <c r="A1" s="79" t="s">
        <v>80</v>
      </c>
      <c r="B1" s="80"/>
      <c r="C1" s="80"/>
      <c r="D1" s="80"/>
    </row>
    <row r="2" spans="1:7" x14ac:dyDescent="0.25">
      <c r="A2" s="10" t="s">
        <v>81</v>
      </c>
    </row>
    <row r="4" spans="1:7" x14ac:dyDescent="0.25">
      <c r="A4" s="81" t="s">
        <v>82</v>
      </c>
      <c r="D4" s="17" t="s">
        <v>83</v>
      </c>
    </row>
    <row r="5" spans="1:7" x14ac:dyDescent="0.25">
      <c r="A5" t="s">
        <v>84</v>
      </c>
      <c r="B5" s="21">
        <v>0.1</v>
      </c>
      <c r="D5" s="60" t="s">
        <v>85</v>
      </c>
      <c r="E5" s="59" t="s">
        <v>19</v>
      </c>
      <c r="F5" s="59" t="s">
        <v>86</v>
      </c>
      <c r="G5" s="61" t="s">
        <v>87</v>
      </c>
    </row>
    <row r="6" spans="1:7" x14ac:dyDescent="0.25">
      <c r="D6" s="74">
        <v>0</v>
      </c>
      <c r="E6" s="3">
        <f t="shared" ref="E6:E12" si="0">$B$11-($B$8*D6-$B$9)</f>
        <v>87559.767500000016</v>
      </c>
      <c r="F6" s="22">
        <f t="shared" ref="F6:F12" si="1">E6-$B$11</f>
        <v>19272.757500000007</v>
      </c>
      <c r="G6" s="75">
        <f t="shared" ref="G6:G12" si="2">IF($B$11=0,0,F6/$B$11)</f>
        <v>0.2822316792022378</v>
      </c>
    </row>
    <row r="7" spans="1:7" x14ac:dyDescent="0.25">
      <c r="A7" s="81" t="s">
        <v>88</v>
      </c>
      <c r="D7" s="74">
        <v>0.05</v>
      </c>
      <c r="E7" s="3">
        <f t="shared" si="0"/>
        <v>77798.87950000001</v>
      </c>
      <c r="F7" s="22">
        <f t="shared" si="1"/>
        <v>9511.8695000000007</v>
      </c>
      <c r="G7" s="75">
        <f t="shared" si="2"/>
        <v>0.13929251698090164</v>
      </c>
    </row>
    <row r="8" spans="1:7" x14ac:dyDescent="0.25">
      <c r="A8" s="2" t="s">
        <v>18</v>
      </c>
      <c r="B8" s="3">
        <f>SUM([1]Dataset!$E$2:$E$201)</f>
        <v>195217.75999999992</v>
      </c>
      <c r="D8" s="74">
        <v>0.1</v>
      </c>
      <c r="E8" s="3">
        <f t="shared" si="0"/>
        <v>68037.991500000018</v>
      </c>
      <c r="F8" s="22">
        <f t="shared" si="1"/>
        <v>-249.01849999999104</v>
      </c>
      <c r="G8" s="75">
        <f t="shared" si="2"/>
        <v>-3.6466452404343226E-3</v>
      </c>
    </row>
    <row r="9" spans="1:7" x14ac:dyDescent="0.25">
      <c r="A9" s="2" t="s">
        <v>89</v>
      </c>
      <c r="B9" s="3">
        <f>SUMPRODUCT([1]Dataset!$E$2:$E$201,[1]Dataset!$G$2:$G$201)</f>
        <v>19272.7575</v>
      </c>
      <c r="D9" s="74">
        <v>0.15</v>
      </c>
      <c r="E9" s="3">
        <f t="shared" si="0"/>
        <v>58277.103500000027</v>
      </c>
      <c r="F9" s="22">
        <f t="shared" si="1"/>
        <v>-10009.906499999983</v>
      </c>
      <c r="G9" s="75">
        <f t="shared" si="2"/>
        <v>-0.14658580746177027</v>
      </c>
    </row>
    <row r="10" spans="1:7" x14ac:dyDescent="0.25">
      <c r="A10" s="2" t="s">
        <v>90</v>
      </c>
      <c r="B10" s="24">
        <f>B9/B8</f>
        <v>9.8724406529405964E-2</v>
      </c>
      <c r="D10" s="74">
        <v>0.2</v>
      </c>
      <c r="E10" s="3">
        <f t="shared" si="0"/>
        <v>48516.21550000002</v>
      </c>
      <c r="F10" s="22">
        <f t="shared" si="1"/>
        <v>-19770.794499999989</v>
      </c>
      <c r="G10" s="75">
        <f t="shared" si="2"/>
        <v>-0.28952496968310643</v>
      </c>
    </row>
    <row r="11" spans="1:7" x14ac:dyDescent="0.25">
      <c r="A11" s="2" t="s">
        <v>91</v>
      </c>
      <c r="B11" s="3">
        <f>SUM([1]Dataset!$I$2:$I$201)</f>
        <v>68287.010000000009</v>
      </c>
      <c r="D11" s="74">
        <v>0.25</v>
      </c>
      <c r="E11" s="3">
        <f t="shared" si="0"/>
        <v>38755.327500000029</v>
      </c>
      <c r="F11" s="22">
        <f t="shared" si="1"/>
        <v>-29531.682499999981</v>
      </c>
      <c r="G11" s="75">
        <f t="shared" si="2"/>
        <v>-0.43246413190444238</v>
      </c>
    </row>
    <row r="12" spans="1:7" x14ac:dyDescent="0.25">
      <c r="D12" s="76">
        <v>0.3</v>
      </c>
      <c r="E12" s="52">
        <f t="shared" si="0"/>
        <v>28994.439500000037</v>
      </c>
      <c r="F12" s="77">
        <f t="shared" si="1"/>
        <v>-39292.570499999973</v>
      </c>
      <c r="G12" s="78">
        <f t="shared" si="2"/>
        <v>-0.5754032941257784</v>
      </c>
    </row>
    <row r="13" spans="1:7" x14ac:dyDescent="0.25">
      <c r="A13" s="81" t="s">
        <v>92</v>
      </c>
    </row>
    <row r="14" spans="1:7" x14ac:dyDescent="0.25">
      <c r="A14" s="2" t="s">
        <v>93</v>
      </c>
      <c r="B14" s="3">
        <f>B8*B5</f>
        <v>19521.775999999994</v>
      </c>
    </row>
    <row r="15" spans="1:7" x14ac:dyDescent="0.25">
      <c r="A15" s="2" t="s">
        <v>94</v>
      </c>
      <c r="B15" s="22">
        <f>B14-B9</f>
        <v>249.01849999999467</v>
      </c>
    </row>
    <row r="16" spans="1:7" x14ac:dyDescent="0.25">
      <c r="A16" s="13" t="s">
        <v>95</v>
      </c>
      <c r="B16" s="14">
        <f>B11-B15</f>
        <v>68037.991500000018</v>
      </c>
    </row>
    <row r="17" spans="1:2" x14ac:dyDescent="0.25">
      <c r="A17" s="13" t="s">
        <v>96</v>
      </c>
      <c r="B17" s="25">
        <f>B16-B11</f>
        <v>-249.01849999999104</v>
      </c>
    </row>
    <row r="18" spans="1:2" x14ac:dyDescent="0.25">
      <c r="A18" s="2" t="s">
        <v>97</v>
      </c>
      <c r="B18" s="23">
        <f>IF(B11=0,0,B17/B11)</f>
        <v>-3.6466452404343226E-3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1B2E-27F2-42AA-A26A-80D06F8790A0}">
  <dimension ref="A1:G31"/>
  <sheetViews>
    <sheetView topLeftCell="A5" workbookViewId="0">
      <selection sqref="A1:XFD1048576"/>
    </sheetView>
  </sheetViews>
  <sheetFormatPr defaultRowHeight="15" x14ac:dyDescent="0.25"/>
  <cols>
    <col min="1" max="1" width="24" customWidth="1"/>
    <col min="2" max="2" width="15" customWidth="1"/>
    <col min="3" max="3" width="16" customWidth="1"/>
    <col min="4" max="5" width="14" customWidth="1"/>
    <col min="6" max="6" width="15" customWidth="1"/>
    <col min="7" max="7" width="14" customWidth="1"/>
  </cols>
  <sheetData>
    <row r="1" spans="1:6" ht="20.25" x14ac:dyDescent="0.3">
      <c r="A1" s="9" t="s">
        <v>98</v>
      </c>
    </row>
    <row r="2" spans="1:6" x14ac:dyDescent="0.25">
      <c r="A2" s="10" t="s">
        <v>99</v>
      </c>
    </row>
    <row r="4" spans="1:6" x14ac:dyDescent="0.25">
      <c r="A4" s="17" t="s">
        <v>100</v>
      </c>
    </row>
    <row r="5" spans="1:6" x14ac:dyDescent="0.25">
      <c r="A5" s="2" t="s">
        <v>101</v>
      </c>
      <c r="B5" s="26">
        <f>ABS(CORREL([1]Dataset!$I$2:$I$201,[1]Dataset!$E$2:$E$201))</f>
        <v>0.77340306414342652</v>
      </c>
    </row>
    <row r="6" spans="1:6" x14ac:dyDescent="0.25">
      <c r="A6" s="2" t="s">
        <v>102</v>
      </c>
      <c r="B6" s="26">
        <f>RSQ([1]Dataset!$I$2:$I$201,[1]Dataset!$E$2:$E$201)</f>
        <v>0.5981522996264409</v>
      </c>
    </row>
    <row r="7" spans="1:6" x14ac:dyDescent="0.25">
      <c r="A7" s="2" t="s">
        <v>103</v>
      </c>
      <c r="B7" s="26">
        <f>1-(1-B6)*(B9-1)/(B9-2)</f>
        <v>0.59612276578617041</v>
      </c>
    </row>
    <row r="8" spans="1:6" x14ac:dyDescent="0.25">
      <c r="A8" s="2" t="s">
        <v>104</v>
      </c>
      <c r="B8" s="27">
        <f>STEYX([1]Dataset!$I$2:$I$201,[1]Dataset!$E$2:$E$201)</f>
        <v>86.281230529665095</v>
      </c>
    </row>
    <row r="9" spans="1:6" x14ac:dyDescent="0.25">
      <c r="A9" s="2" t="s">
        <v>105</v>
      </c>
      <c r="B9" s="4">
        <f>COUNT([1]Dataset!$I$2:$I$201)</f>
        <v>200</v>
      </c>
    </row>
    <row r="11" spans="1:6" x14ac:dyDescent="0.25">
      <c r="A11" s="17" t="s">
        <v>106</v>
      </c>
    </row>
    <row r="12" spans="1:6" x14ac:dyDescent="0.25">
      <c r="A12" s="1"/>
      <c r="B12" s="1" t="s">
        <v>107</v>
      </c>
      <c r="C12" s="1" t="s">
        <v>108</v>
      </c>
      <c r="D12" s="1" t="s">
        <v>109</v>
      </c>
      <c r="E12" s="1" t="s">
        <v>110</v>
      </c>
      <c r="F12" s="1" t="s">
        <v>111</v>
      </c>
    </row>
    <row r="13" spans="1:6" x14ac:dyDescent="0.25">
      <c r="A13" s="2" t="s">
        <v>112</v>
      </c>
      <c r="B13" s="4">
        <v>1</v>
      </c>
      <c r="C13" s="3">
        <f>B6*C15</f>
        <v>2194058.1833402836</v>
      </c>
      <c r="D13" s="3">
        <f>C13/B13</f>
        <v>2194058.1833402836</v>
      </c>
      <c r="E13" s="3">
        <f>D13/D14</f>
        <v>294.72398427548166</v>
      </c>
      <c r="F13" s="28">
        <f>FDIST(E13,B13,B14)</f>
        <v>4.6269367558905227E-41</v>
      </c>
    </row>
    <row r="14" spans="1:6" x14ac:dyDescent="0.25">
      <c r="A14" s="2" t="s">
        <v>113</v>
      </c>
      <c r="B14" s="4">
        <f>B15-B13</f>
        <v>198</v>
      </c>
      <c r="C14" s="3">
        <f>C15-C13</f>
        <v>1474001.2468592166</v>
      </c>
      <c r="D14" s="3">
        <f>C14/B14</f>
        <v>7444.4507417132154</v>
      </c>
      <c r="E14" s="3"/>
      <c r="F14" s="28"/>
    </row>
    <row r="15" spans="1:6" x14ac:dyDescent="0.25">
      <c r="A15" s="2" t="s">
        <v>58</v>
      </c>
      <c r="B15" s="4">
        <f>B9-1</f>
        <v>199</v>
      </c>
      <c r="C15" s="3">
        <f>DEVSQ([1]Dataset!$I$2:$I$201)</f>
        <v>3668059.4301995002</v>
      </c>
      <c r="D15" s="3"/>
      <c r="E15" s="3"/>
      <c r="F15" s="28"/>
    </row>
    <row r="17" spans="1:7" x14ac:dyDescent="0.25">
      <c r="A17" s="1"/>
      <c r="B17" s="1" t="s">
        <v>114</v>
      </c>
      <c r="C17" s="1" t="s">
        <v>104</v>
      </c>
      <c r="D17" s="1" t="s">
        <v>115</v>
      </c>
      <c r="E17" s="1" t="s">
        <v>116</v>
      </c>
      <c r="F17" s="1" t="s">
        <v>117</v>
      </c>
      <c r="G17" s="1" t="s">
        <v>118</v>
      </c>
    </row>
    <row r="18" spans="1:7" x14ac:dyDescent="0.25">
      <c r="A18" s="2" t="s">
        <v>119</v>
      </c>
      <c r="B18" s="26">
        <f>INTERCEPT([1]Dataset!$I$2:$I$201,[1]Dataset!$E$2:$E$201)</f>
        <v>-1.0315504901910799</v>
      </c>
      <c r="C18" s="26">
        <f>INDEX(LINEST([1]Dataset!$I$2:$I$201,[1]Dataset!$E$2:$E$201,TRUE,TRUE),2,2)</f>
        <v>20.860617005445505</v>
      </c>
      <c r="D18" s="26">
        <f>B18/C18</f>
        <v>-4.9449663445803232E-2</v>
      </c>
      <c r="E18" s="28">
        <f>TDIST(ABS(D18),$B$14,2)</f>
        <v>0.9606107969690767</v>
      </c>
      <c r="F18" s="26">
        <f>B18-TINV(0.05,$B$14)*C18</f>
        <v>-42.169051823378908</v>
      </c>
      <c r="G18" s="26">
        <f>B18+TINV(0.05,$B$14)*C18</f>
        <v>40.105950842996748</v>
      </c>
    </row>
    <row r="19" spans="1:7" x14ac:dyDescent="0.25">
      <c r="A19" s="2" t="s">
        <v>120</v>
      </c>
      <c r="B19" s="26">
        <f>SLOPE([1]Dataset!$I$2:$I$201,[1]Dataset!$E$2:$E$201)</f>
        <v>0.35085598819512248</v>
      </c>
      <c r="C19" s="26">
        <f>INDEX(LINEST([1]Dataset!$I$2:$I$201,[1]Dataset!$E$2:$E$201,TRUE,TRUE),2,1)</f>
        <v>2.0437188630135626E-2</v>
      </c>
      <c r="D19" s="26">
        <f>B19/C19</f>
        <v>17.167527028535044</v>
      </c>
      <c r="E19" s="28">
        <f>TDIST(ABS(D19),$B$14,2)</f>
        <v>4.6269367558908521E-41</v>
      </c>
      <c r="F19" s="26">
        <f>B19-TINV(0.05,$B$14)*C19</f>
        <v>0.31055349501865759</v>
      </c>
      <c r="G19" s="26">
        <f>B19+TINV(0.05,$B$14)*C19</f>
        <v>0.39115848137158737</v>
      </c>
    </row>
    <row r="21" spans="1:7" x14ac:dyDescent="0.25">
      <c r="A21" s="17" t="s">
        <v>121</v>
      </c>
    </row>
    <row r="22" spans="1:7" x14ac:dyDescent="0.25">
      <c r="A22" s="29" t="str">
        <f>"Profit = "&amp;TEXT(B18,"0.00")&amp;" + "&amp;TEXT(B19,"0.0000")&amp;" × Sales"</f>
        <v>Profit = -1.03 + 0.3509 × Sales</v>
      </c>
    </row>
    <row r="24" spans="1:7" x14ac:dyDescent="0.25">
      <c r="A24" s="17" t="s">
        <v>122</v>
      </c>
    </row>
    <row r="25" spans="1:7" x14ac:dyDescent="0.25">
      <c r="A25" s="30" t="s">
        <v>123</v>
      </c>
      <c r="B25" s="31">
        <v>1500</v>
      </c>
    </row>
    <row r="26" spans="1:7" x14ac:dyDescent="0.25">
      <c r="A26" s="11" t="s">
        <v>124</v>
      </c>
      <c r="B26" s="32">
        <f>B18+B19*B25</f>
        <v>525.25243180249265</v>
      </c>
    </row>
    <row r="28" spans="1:7" x14ac:dyDescent="0.25">
      <c r="A28" s="17" t="s">
        <v>125</v>
      </c>
    </row>
    <row r="29" spans="1:7" x14ac:dyDescent="0.25">
      <c r="A29" s="33" t="str">
        <f>"For every 1 unit increase in Sales, Profit rises by about "&amp;TEXT(B19,"0.000")&amp;" units. Sales explains "&amp;TEXT(B6,"0.0%")&amp;" of the variation in Profit ("&amp;IF(E19&lt;0.05,"statistically significant, p &lt; 0.05","not statistically significant, p &gt;= 0.05")&amp;")."</f>
        <v>For every 1 unit increase in Sales, Profit rises by about 0.351 units. Sales explains 59.8% of the variation in Profit (statistically significant, p &lt; 0.05).</v>
      </c>
      <c r="B29" s="34"/>
      <c r="C29" s="34"/>
      <c r="D29" s="34"/>
      <c r="E29" s="34"/>
      <c r="F29" s="34"/>
      <c r="G29" s="34"/>
    </row>
    <row r="30" spans="1:7" x14ac:dyDescent="0.25">
      <c r="A30" s="34"/>
      <c r="B30" s="34"/>
      <c r="C30" s="34"/>
      <c r="D30" s="34"/>
      <c r="E30" s="34"/>
      <c r="F30" s="34"/>
      <c r="G30" s="34"/>
    </row>
    <row r="31" spans="1:7" x14ac:dyDescent="0.25">
      <c r="A31" s="34"/>
      <c r="B31" s="34"/>
      <c r="C31" s="34"/>
      <c r="D31" s="34"/>
      <c r="E31" s="34"/>
      <c r="F31" s="34"/>
      <c r="G31" s="34"/>
    </row>
  </sheetData>
  <mergeCells count="1">
    <mergeCell ref="A29:G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8C6B-98C2-4C49-BB51-78EC67E7A944}">
  <dimension ref="A1:D31"/>
  <sheetViews>
    <sheetView topLeftCell="A11" workbookViewId="0">
      <selection activeCell="G20" sqref="G20"/>
    </sheetView>
  </sheetViews>
  <sheetFormatPr defaultRowHeight="15" x14ac:dyDescent="0.25"/>
  <cols>
    <col min="1" max="1" width="27" customWidth="1"/>
    <col min="2" max="2" width="16" customWidth="1"/>
    <col min="3" max="3" width="14" customWidth="1"/>
    <col min="4" max="4" width="15.42578125" customWidth="1"/>
  </cols>
  <sheetData>
    <row r="1" spans="1:4" ht="20.25" x14ac:dyDescent="0.3">
      <c r="A1" s="79" t="s">
        <v>126</v>
      </c>
      <c r="B1" s="80"/>
      <c r="C1" s="80"/>
    </row>
    <row r="2" spans="1:4" x14ac:dyDescent="0.25">
      <c r="A2" s="10" t="s">
        <v>127</v>
      </c>
    </row>
    <row r="4" spans="1:4" ht="26.1" customHeight="1" x14ac:dyDescent="0.25">
      <c r="A4" s="60" t="s">
        <v>128</v>
      </c>
      <c r="B4" s="59" t="s">
        <v>4</v>
      </c>
      <c r="C4" s="59" t="s">
        <v>5</v>
      </c>
      <c r="D4" s="61" t="s">
        <v>8</v>
      </c>
    </row>
    <row r="5" spans="1:4" x14ac:dyDescent="0.25">
      <c r="A5" s="48" t="s">
        <v>129</v>
      </c>
      <c r="B5" s="3">
        <f>AVERAGE([1]Dataset!$E$2:$E$201)</f>
        <v>976.08879999999965</v>
      </c>
      <c r="C5" s="3">
        <f>AVERAGE([1]Dataset!$F$2:$F$201)</f>
        <v>9.9949999999999992</v>
      </c>
      <c r="D5" s="69">
        <f>AVERAGE([1]Dataset!$I$2:$I$201)</f>
        <v>341.43505000000005</v>
      </c>
    </row>
    <row r="6" spans="1:4" x14ac:dyDescent="0.25">
      <c r="A6" s="48" t="s">
        <v>104</v>
      </c>
      <c r="B6" s="3">
        <f>STDEV([1]Dataset!$E$2:$E$201)/SQRT(COUNT([1]Dataset!$E$2:$E$201))</f>
        <v>21.161850448978406</v>
      </c>
      <c r="C6" s="3">
        <f>STDEV([1]Dataset!$F$2:$F$201)/SQRT(COUNT([1]Dataset!$F$2:$F$201))</f>
        <v>0.39927682743257598</v>
      </c>
      <c r="D6" s="69">
        <f>STDEV([1]Dataset!$I$2:$I$201)/SQRT(COUNT([1]Dataset!$I$2:$I$201))</f>
        <v>9.6001196472332531</v>
      </c>
    </row>
    <row r="7" spans="1:4" x14ac:dyDescent="0.25">
      <c r="A7" s="48" t="s">
        <v>130</v>
      </c>
      <c r="B7" s="3">
        <f>MEDIAN([1]Dataset!$E$2:$E$201)</f>
        <v>976.72</v>
      </c>
      <c r="C7" s="3">
        <f>MEDIAN([1]Dataset!$F$2:$F$201)</f>
        <v>10</v>
      </c>
      <c r="D7" s="69">
        <f>MEDIAN([1]Dataset!$I$2:$I$201)</f>
        <v>332.255</v>
      </c>
    </row>
    <row r="8" spans="1:4" x14ac:dyDescent="0.25">
      <c r="A8" s="48" t="s">
        <v>131</v>
      </c>
      <c r="B8" s="3" t="str">
        <f>IFERROR(MODE([1]Dataset!$E$2:$E$201),"No mode")</f>
        <v>No mode</v>
      </c>
      <c r="C8" s="3">
        <f>IFERROR(MODE([1]Dataset!$F$2:$F$201),"No mode")</f>
        <v>8</v>
      </c>
      <c r="D8" s="69" t="str">
        <f>IFERROR(MODE([1]Dataset!$I$2:$I$201),"No mode")</f>
        <v>No mode</v>
      </c>
    </row>
    <row r="9" spans="1:4" x14ac:dyDescent="0.25">
      <c r="A9" s="48" t="s">
        <v>132</v>
      </c>
      <c r="B9" s="3">
        <f>STDEV([1]Dataset!$E$2:$E$201)</f>
        <v>299.27375909856431</v>
      </c>
      <c r="C9" s="3">
        <f>STDEV([1]Dataset!$F$2:$F$201)</f>
        <v>5.6466270449645082</v>
      </c>
      <c r="D9" s="69">
        <f>STDEV([1]Dataset!$I$2:$I$201)</f>
        <v>135.7661940552168</v>
      </c>
    </row>
    <row r="10" spans="1:4" x14ac:dyDescent="0.25">
      <c r="A10" s="48" t="s">
        <v>133</v>
      </c>
      <c r="B10" s="3">
        <f>VAR([1]Dataset!$E$2:$E$201)</f>
        <v>89564.782884985514</v>
      </c>
      <c r="C10" s="3">
        <f>VAR([1]Dataset!$F$2:$F$201)</f>
        <v>31.884396984924617</v>
      </c>
      <c r="D10" s="69">
        <f>VAR([1]Dataset!$I$2:$I$201)</f>
        <v>18432.459448238787</v>
      </c>
    </row>
    <row r="11" spans="1:4" x14ac:dyDescent="0.25">
      <c r="A11" s="48" t="s">
        <v>134</v>
      </c>
      <c r="B11" s="35">
        <f>KURT([1]Dataset!$E$2:$E$201)</f>
        <v>-8.8595231919740502E-2</v>
      </c>
      <c r="C11" s="35">
        <f>KURT([1]Dataset!$F$2:$F$201)</f>
        <v>-1.2091053826620759</v>
      </c>
      <c r="D11" s="82">
        <f>KURT([1]Dataset!$I$2:$I$201)</f>
        <v>0.26450643813582442</v>
      </c>
    </row>
    <row r="12" spans="1:4" x14ac:dyDescent="0.25">
      <c r="A12" s="48" t="s">
        <v>135</v>
      </c>
      <c r="B12" s="35">
        <f>SKEW([1]Dataset!$E$2:$E$201)</f>
        <v>0.14685796564193557</v>
      </c>
      <c r="C12" s="35">
        <f>SKEW([1]Dataset!$F$2:$F$201)</f>
        <v>6.084586432077814E-2</v>
      </c>
      <c r="D12" s="82">
        <f>SKEW([1]Dataset!$I$2:$I$201)</f>
        <v>0.57339636063424715</v>
      </c>
    </row>
    <row r="13" spans="1:4" x14ac:dyDescent="0.25">
      <c r="A13" s="48" t="s">
        <v>136</v>
      </c>
      <c r="B13" s="3">
        <f>MAX([1]Dataset!$E$2:$E$201)-MIN([1]Dataset!$E$2:$E$201)</f>
        <v>1665.15</v>
      </c>
      <c r="C13" s="3">
        <f>MAX([1]Dataset!$F$2:$F$201)-MIN([1]Dataset!$F$2:$F$201)</f>
        <v>18</v>
      </c>
      <c r="D13" s="69">
        <f>MAX([1]Dataset!$I$2:$I$201)-MIN([1]Dataset!$I$2:$I$201)</f>
        <v>704.83</v>
      </c>
    </row>
    <row r="14" spans="1:4" x14ac:dyDescent="0.25">
      <c r="A14" s="48" t="s">
        <v>137</v>
      </c>
      <c r="B14" s="3">
        <f>MIN([1]Dataset!$E$2:$E$201)</f>
        <v>258.51</v>
      </c>
      <c r="C14" s="3">
        <f>MIN([1]Dataset!$F$2:$F$201)</f>
        <v>1</v>
      </c>
      <c r="D14" s="69">
        <f>MIN([1]Dataset!$I$2:$I$201)</f>
        <v>64.63</v>
      </c>
    </row>
    <row r="15" spans="1:4" x14ac:dyDescent="0.25">
      <c r="A15" s="48" t="s">
        <v>138</v>
      </c>
      <c r="B15" s="3">
        <f>MAX([1]Dataset!$E$2:$E$201)</f>
        <v>1923.66</v>
      </c>
      <c r="C15" s="3">
        <f>MAX([1]Dataset!$F$2:$F$201)</f>
        <v>19</v>
      </c>
      <c r="D15" s="69">
        <f>MAX([1]Dataset!$I$2:$I$201)</f>
        <v>769.46</v>
      </c>
    </row>
    <row r="16" spans="1:4" x14ac:dyDescent="0.25">
      <c r="A16" s="48" t="s">
        <v>139</v>
      </c>
      <c r="B16" s="3">
        <f>SUM([1]Dataset!$E$2:$E$201)</f>
        <v>195217.75999999992</v>
      </c>
      <c r="C16" s="3">
        <f>SUM([1]Dataset!$F$2:$F$201)</f>
        <v>1999</v>
      </c>
      <c r="D16" s="69">
        <f>SUM([1]Dataset!$I$2:$I$201)</f>
        <v>68287.010000000009</v>
      </c>
    </row>
    <row r="17" spans="1:4" x14ac:dyDescent="0.25">
      <c r="A17" s="48" t="s">
        <v>140</v>
      </c>
      <c r="B17" s="4">
        <f>COUNT([1]Dataset!$E$2:$E$201)</f>
        <v>200</v>
      </c>
      <c r="C17" s="4">
        <f>COUNT([1]Dataset!$F$2:$F$201)</f>
        <v>200</v>
      </c>
      <c r="D17" s="83">
        <f>COUNT([1]Dataset!$I$2:$I$201)</f>
        <v>200</v>
      </c>
    </row>
    <row r="18" spans="1:4" x14ac:dyDescent="0.25">
      <c r="A18" s="50" t="s">
        <v>141</v>
      </c>
      <c r="B18" s="52">
        <f>TINV(0.05,COUNT([1]Dataset!$E$2:$E$201)-1)*STDEV([1]Dataset!$E$2:$E$201)/SQRT(COUNT([1]Dataset!$E$2:$E$201))</f>
        <v>41.730249481339904</v>
      </c>
      <c r="C18" s="52">
        <f>TINV(0.05,COUNT([1]Dataset!$F$2:$F$201)-1)*STDEV([1]Dataset!$F$2:$F$201)/SQRT(COUNT([1]Dataset!$F$2:$F$201))</f>
        <v>0.78735655282374695</v>
      </c>
      <c r="D18" s="84">
        <f>TINV(0.05,COUNT([1]Dataset!$I$2:$I$201)-1)*STDEV([1]Dataset!$I$2:$I$201)/SQRT(COUNT([1]Dataset!$I$2:$I$201))</f>
        <v>18.931018763961465</v>
      </c>
    </row>
    <row r="19" spans="1:4" x14ac:dyDescent="0.25">
      <c r="A19" s="17" t="s">
        <v>142</v>
      </c>
    </row>
    <row r="20" spans="1:4" x14ac:dyDescent="0.25">
      <c r="A20" s="30" t="s">
        <v>143</v>
      </c>
      <c r="B20" s="12">
        <v>250</v>
      </c>
    </row>
    <row r="21" spans="1:4" x14ac:dyDescent="0.25">
      <c r="A21" s="60" t="s">
        <v>144</v>
      </c>
      <c r="B21" s="59" t="s">
        <v>145</v>
      </c>
      <c r="C21" s="59" t="s">
        <v>146</v>
      </c>
      <c r="D21" s="61" t="s">
        <v>147</v>
      </c>
    </row>
    <row r="22" spans="1:4" x14ac:dyDescent="0.25">
      <c r="A22" s="85">
        <f>$B$20</f>
        <v>250</v>
      </c>
      <c r="B22" s="2" t="str">
        <f t="shared" ref="B22:B29" si="0">(A22-$B$20)&amp;" – "&amp;A22</f>
        <v>0 – 250</v>
      </c>
      <c r="C22" s="4">
        <f>COUNTIFS([1]Dataset!$E$2:$E$201,"&gt;"&amp;(A22-$B$20),[1]Dataset!$E$2:$E$201,"&lt;="&amp;A22)</f>
        <v>0</v>
      </c>
      <c r="D22" s="66">
        <f>SUM($C$22:C22)/SUM($C$22:$C$29)</f>
        <v>0</v>
      </c>
    </row>
    <row r="23" spans="1:4" x14ac:dyDescent="0.25">
      <c r="A23" s="85">
        <f t="shared" ref="A23:A29" si="1">A22+$B$20</f>
        <v>500</v>
      </c>
      <c r="B23" s="2" t="str">
        <f t="shared" si="0"/>
        <v>250 – 500</v>
      </c>
      <c r="C23" s="4">
        <f>COUNTIFS([1]Dataset!$E$2:$E$201,"&gt;"&amp;(A23-$B$20),[1]Dataset!$E$2:$E$201,"&lt;="&amp;A23)</f>
        <v>11</v>
      </c>
      <c r="D23" s="66">
        <f>SUM($C$22:C23)/SUM($C$22:$C$29)</f>
        <v>5.5E-2</v>
      </c>
    </row>
    <row r="24" spans="1:4" x14ac:dyDescent="0.25">
      <c r="A24" s="85">
        <f t="shared" si="1"/>
        <v>750</v>
      </c>
      <c r="B24" s="2" t="str">
        <f t="shared" si="0"/>
        <v>500 – 750</v>
      </c>
      <c r="C24" s="4">
        <f>COUNTIFS([1]Dataset!$E$2:$E$201,"&gt;"&amp;(A24-$B$20),[1]Dataset!$E$2:$E$201,"&lt;="&amp;A24)</f>
        <v>37</v>
      </c>
      <c r="D24" s="66">
        <f>SUM($C$22:C24)/SUM($C$22:$C$29)</f>
        <v>0.24</v>
      </c>
    </row>
    <row r="25" spans="1:4" x14ac:dyDescent="0.25">
      <c r="A25" s="85">
        <f t="shared" si="1"/>
        <v>1000</v>
      </c>
      <c r="B25" s="2" t="str">
        <f t="shared" si="0"/>
        <v>750 – 1000</v>
      </c>
      <c r="C25" s="4">
        <f>COUNTIFS([1]Dataset!$E$2:$E$201,"&gt;"&amp;(A25-$B$20),[1]Dataset!$E$2:$E$201,"&lt;="&amp;A25)</f>
        <v>58</v>
      </c>
      <c r="D25" s="66">
        <f>SUM($C$22:C25)/SUM($C$22:$C$29)</f>
        <v>0.53</v>
      </c>
    </row>
    <row r="26" spans="1:4" x14ac:dyDescent="0.25">
      <c r="A26" s="85">
        <f t="shared" si="1"/>
        <v>1250</v>
      </c>
      <c r="B26" s="2" t="str">
        <f t="shared" si="0"/>
        <v>1000 – 1250</v>
      </c>
      <c r="C26" s="4">
        <f>COUNTIFS([1]Dataset!$E$2:$E$201,"&gt;"&amp;(A26-$B$20),[1]Dataset!$E$2:$E$201,"&lt;="&amp;A26)</f>
        <v>60</v>
      </c>
      <c r="D26" s="66">
        <f>SUM($C$22:C26)/SUM($C$22:$C$29)</f>
        <v>0.83</v>
      </c>
    </row>
    <row r="27" spans="1:4" x14ac:dyDescent="0.25">
      <c r="A27" s="85">
        <f t="shared" si="1"/>
        <v>1500</v>
      </c>
      <c r="B27" s="2" t="str">
        <f t="shared" si="0"/>
        <v>1250 – 1500</v>
      </c>
      <c r="C27" s="4">
        <f>COUNTIFS([1]Dataset!$E$2:$E$201,"&gt;"&amp;(A27-$B$20),[1]Dataset!$E$2:$E$201,"&lt;="&amp;A27)</f>
        <v>25</v>
      </c>
      <c r="D27" s="66">
        <f>SUM($C$22:C27)/SUM($C$22:$C$29)</f>
        <v>0.95499999999999996</v>
      </c>
    </row>
    <row r="28" spans="1:4" x14ac:dyDescent="0.25">
      <c r="A28" s="85">
        <f t="shared" si="1"/>
        <v>1750</v>
      </c>
      <c r="B28" s="2" t="str">
        <f t="shared" si="0"/>
        <v>1500 – 1750</v>
      </c>
      <c r="C28" s="4">
        <f>COUNTIFS([1]Dataset!$E$2:$E$201,"&gt;"&amp;(A28-$B$20),[1]Dataset!$E$2:$E$201,"&lt;="&amp;A28)</f>
        <v>8</v>
      </c>
      <c r="D28" s="66">
        <f>SUM($C$22:C28)/SUM($C$22:$C$29)</f>
        <v>0.995</v>
      </c>
    </row>
    <row r="29" spans="1:4" x14ac:dyDescent="0.25">
      <c r="A29" s="85">
        <f t="shared" si="1"/>
        <v>2000</v>
      </c>
      <c r="B29" s="2" t="str">
        <f t="shared" si="0"/>
        <v>1750 – 2000</v>
      </c>
      <c r="C29" s="4">
        <f>COUNTIFS([1]Dataset!$E$2:$E$201,"&gt;"&amp;(A29-$B$20),[1]Dataset!$E$2:$E$201,"&lt;="&amp;A29)</f>
        <v>1</v>
      </c>
      <c r="D29" s="66">
        <f>SUM($C$22:C29)/SUM($C$22:$C$29)</f>
        <v>1</v>
      </c>
    </row>
    <row r="30" spans="1:4" x14ac:dyDescent="0.25">
      <c r="A30" s="86" t="s">
        <v>58</v>
      </c>
      <c r="B30" s="87"/>
      <c r="C30" s="72">
        <f>SUM(C22:C29)</f>
        <v>200</v>
      </c>
      <c r="D30" s="68"/>
    </row>
    <row r="31" spans="1:4" x14ac:dyDescent="0.25">
      <c r="A31" s="10" t="s">
        <v>148</v>
      </c>
      <c r="C31" s="36" t="str">
        <f>IF(C30=B17,"OK","Increase bins")</f>
        <v>OK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</vt:lpstr>
      <vt:lpstr> ANALYSIS</vt:lpstr>
      <vt:lpstr> CUSTOMERS</vt:lpstr>
      <vt:lpstr> PIVOT TABLE </vt:lpstr>
      <vt:lpstr> WHAT IF </vt:lpstr>
      <vt:lpstr> REGRESSION </vt:lpstr>
      <vt:lpstr> DESCRIPTIVE STATS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khushalani</dc:creator>
  <cp:lastModifiedBy>kavita khushalani</cp:lastModifiedBy>
  <dcterms:created xsi:type="dcterms:W3CDTF">2026-10-22T17:11:29Z</dcterms:created>
  <dcterms:modified xsi:type="dcterms:W3CDTF">2026-10-22T17:35:53Z</dcterms:modified>
</cp:coreProperties>
</file>